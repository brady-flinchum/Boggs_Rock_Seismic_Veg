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nstaff-my.sharepoint.com/personal/baf739_newcastle_edu_au/Documents/Documents/Research/Manuscripts/BoggsRock/Data/"/>
    </mc:Choice>
  </mc:AlternateContent>
  <xr:revisionPtr revIDLastSave="15" documentId="8_{659444CD-DFBA-2C4C-869D-21A90D830B98}" xr6:coauthVersionLast="47" xr6:coauthVersionMax="47" xr10:uidLastSave="{A4DD41CE-F812-474E-944C-2138BB00FFEC}"/>
  <bookViews>
    <workbookView xWindow="1100" yWindow="900" windowWidth="28040" windowHeight="17180" xr2:uid="{8E8E03F1-919B-5147-9CE2-8ABBA2610DB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8" i="1" l="1"/>
  <c r="H39" i="1"/>
  <c r="H40" i="1"/>
  <c r="H41" i="1"/>
  <c r="H42" i="1"/>
  <c r="H43" i="1"/>
  <c r="H44" i="1"/>
  <c r="H45" i="1"/>
  <c r="H46" i="1"/>
  <c r="H47" i="1"/>
  <c r="H48" i="1"/>
  <c r="H49" i="1"/>
  <c r="H37" i="1"/>
  <c r="G38" i="1"/>
  <c r="G39" i="1"/>
  <c r="G40" i="1"/>
  <c r="G41" i="1"/>
  <c r="G42" i="1"/>
  <c r="G43" i="1"/>
  <c r="G44" i="1"/>
  <c r="G45" i="1"/>
  <c r="G46" i="1"/>
  <c r="G47" i="1"/>
  <c r="G48" i="1"/>
  <c r="G49" i="1"/>
  <c r="G37" i="1"/>
  <c r="E50" i="1"/>
  <c r="D50" i="1"/>
  <c r="C50" i="1"/>
  <c r="B50" i="1"/>
</calcChain>
</file>

<file path=xl/sharedStrings.xml><?xml version="1.0" encoding="utf-8"?>
<sst xmlns="http://schemas.openxmlformats.org/spreadsheetml/2006/main" count="34" uniqueCount="23">
  <si>
    <t>M</t>
  </si>
  <si>
    <t>Mean</t>
  </si>
  <si>
    <t>Max</t>
  </si>
  <si>
    <t>Min</t>
  </si>
  <si>
    <t>Month</t>
  </si>
  <si>
    <t>Total Precipitation Normal (inches)</t>
  </si>
  <si>
    <t>Mean Max Temperature Normal (°F)</t>
  </si>
  <si>
    <t>Mean Min Temperature Normal (°F)</t>
  </si>
  <si>
    <t>Mean Avg Temperature Normal (°F)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</si>
  <si>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</si>
  <si>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</si>
  <si>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</si>
  <si>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</si>
  <si>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</si>
  <si>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</si>
  <si>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</si>
  <si>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</si>
  <si>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</si>
  <si>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</si>
  <si>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</si>
  <si>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</si>
  <si>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</t>
  </si>
  <si>
    <t>https://www.weather.gov/wrh/Climate?wfo=gsp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</si>
</sst>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/>
    <xf numFmtId="0" fontId="0" fillId="0" borderId="0" xfId="0"/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7EFA0-9A63-5346-AA63-3DC97C4E8950}">
  <dimension ref="A1:N50"/>
  <sheetViews>
    <sheetView tabSelected="1" topLeftCell="A17" workbookViewId="0">
      <selection activeCell="H37" sqref="H37:H49"/>
    </sheetView>
  </sheetViews>
  <sheetFormatPr baseColWidth="10" defaultRowHeight="16" x14ac:dyDescent="0.2"/>
  <sheetData>
    <row r="1" spans="1:14" x14ac:dyDescent="0.2">
      <c r="A1">
        <v>2000</v>
      </c>
      <c r="B1">
        <v>0.15</v>
      </c>
      <c r="C1">
        <v>0.09</v>
      </c>
      <c r="D1">
        <v>0.18</v>
      </c>
      <c r="E1">
        <v>0.2</v>
      </c>
      <c r="F1">
        <v>0.01</v>
      </c>
      <c r="G1">
        <v>0.13</v>
      </c>
      <c r="H1">
        <v>0.1</v>
      </c>
      <c r="I1">
        <v>0.12</v>
      </c>
      <c r="J1">
        <v>0.27</v>
      </c>
      <c r="K1">
        <v>0</v>
      </c>
      <c r="L1">
        <v>0.09</v>
      </c>
      <c r="M1">
        <v>0.09</v>
      </c>
      <c r="N1">
        <v>0.12</v>
      </c>
    </row>
    <row r="2" spans="1:14" x14ac:dyDescent="0.2">
      <c r="A2">
        <v>2001</v>
      </c>
      <c r="B2">
        <v>0.13</v>
      </c>
      <c r="C2">
        <v>0.1</v>
      </c>
      <c r="D2">
        <v>0.19</v>
      </c>
      <c r="E2">
        <v>0.03</v>
      </c>
      <c r="F2">
        <v>0.1</v>
      </c>
      <c r="G2">
        <v>0.11</v>
      </c>
      <c r="H2">
        <v>0.28999999999999998</v>
      </c>
      <c r="I2">
        <v>0.05</v>
      </c>
      <c r="J2">
        <v>0.18</v>
      </c>
      <c r="K2">
        <v>0.06</v>
      </c>
      <c r="L2">
        <v>7.0000000000000007E-2</v>
      </c>
      <c r="M2">
        <v>0.1</v>
      </c>
      <c r="N2">
        <v>0.12</v>
      </c>
    </row>
    <row r="3" spans="1:14" x14ac:dyDescent="0.2">
      <c r="A3">
        <v>2002</v>
      </c>
      <c r="B3">
        <v>0.17</v>
      </c>
      <c r="C3">
        <v>7.0000000000000007E-2</v>
      </c>
      <c r="D3">
        <v>0.2</v>
      </c>
      <c r="E3">
        <v>0.05</v>
      </c>
      <c r="F3">
        <v>0.1</v>
      </c>
      <c r="G3">
        <v>0.15</v>
      </c>
      <c r="H3">
        <v>0.04</v>
      </c>
      <c r="I3">
        <v>0.14000000000000001</v>
      </c>
      <c r="J3">
        <v>0.3</v>
      </c>
      <c r="K3">
        <v>0.2</v>
      </c>
      <c r="L3">
        <v>0.17</v>
      </c>
      <c r="M3">
        <v>0.27</v>
      </c>
      <c r="N3">
        <v>0.16</v>
      </c>
    </row>
    <row r="4" spans="1:14" x14ac:dyDescent="0.2">
      <c r="A4">
        <v>2003</v>
      </c>
      <c r="B4">
        <v>0.06</v>
      </c>
      <c r="C4">
        <v>0.23</v>
      </c>
      <c r="D4">
        <v>0.22</v>
      </c>
      <c r="E4">
        <v>0.22</v>
      </c>
      <c r="F4">
        <v>0.25</v>
      </c>
      <c r="G4">
        <v>0.18</v>
      </c>
      <c r="H4">
        <v>0.35</v>
      </c>
      <c r="I4" t="s">
        <v>0</v>
      </c>
      <c r="J4">
        <v>0.15</v>
      </c>
      <c r="K4">
        <v>0.08</v>
      </c>
      <c r="L4">
        <v>0.17</v>
      </c>
      <c r="M4">
        <v>0.16</v>
      </c>
      <c r="N4">
        <v>0.19</v>
      </c>
    </row>
    <row r="5" spans="1:14" x14ac:dyDescent="0.2">
      <c r="A5">
        <v>2004</v>
      </c>
      <c r="B5">
        <v>0.04</v>
      </c>
      <c r="C5">
        <v>0.17</v>
      </c>
      <c r="D5">
        <v>0.08</v>
      </c>
      <c r="E5">
        <v>0.06</v>
      </c>
      <c r="F5">
        <v>0.14000000000000001</v>
      </c>
      <c r="G5">
        <v>0.26</v>
      </c>
      <c r="H5">
        <v>0.23</v>
      </c>
      <c r="I5">
        <v>0.09</v>
      </c>
      <c r="J5">
        <v>0.57999999999999996</v>
      </c>
      <c r="K5">
        <v>0.04</v>
      </c>
      <c r="L5">
        <v>0.22</v>
      </c>
      <c r="M5">
        <v>0.25</v>
      </c>
      <c r="N5">
        <v>0.18</v>
      </c>
    </row>
    <row r="6" spans="1:14" x14ac:dyDescent="0.2">
      <c r="A6">
        <v>2005</v>
      </c>
      <c r="B6">
        <v>0.1</v>
      </c>
      <c r="C6">
        <v>0.13</v>
      </c>
      <c r="D6">
        <v>0.18</v>
      </c>
      <c r="E6">
        <v>0.23</v>
      </c>
      <c r="F6">
        <v>0.11</v>
      </c>
      <c r="G6">
        <v>0.26</v>
      </c>
      <c r="H6">
        <v>0.27</v>
      </c>
      <c r="I6">
        <v>0.23</v>
      </c>
      <c r="J6">
        <v>0.04</v>
      </c>
      <c r="K6">
        <v>7.0000000000000007E-2</v>
      </c>
      <c r="L6">
        <v>0.14000000000000001</v>
      </c>
      <c r="M6">
        <v>0.17</v>
      </c>
      <c r="N6">
        <v>0.16</v>
      </c>
    </row>
    <row r="7" spans="1:14" x14ac:dyDescent="0.2">
      <c r="A7">
        <v>2006</v>
      </c>
      <c r="B7">
        <v>0.16</v>
      </c>
      <c r="C7">
        <v>7.0000000000000007E-2</v>
      </c>
      <c r="D7">
        <v>0.04</v>
      </c>
      <c r="E7">
        <v>0.1</v>
      </c>
      <c r="F7">
        <v>0.04</v>
      </c>
      <c r="G7">
        <v>0.33</v>
      </c>
      <c r="H7">
        <v>0.05</v>
      </c>
      <c r="I7">
        <v>0.11</v>
      </c>
      <c r="J7">
        <v>0.16</v>
      </c>
      <c r="K7">
        <v>0.19</v>
      </c>
      <c r="L7">
        <v>0.12</v>
      </c>
      <c r="M7">
        <v>0.13</v>
      </c>
      <c r="N7">
        <v>0.13</v>
      </c>
    </row>
    <row r="8" spans="1:14" x14ac:dyDescent="0.2">
      <c r="A8">
        <v>2007</v>
      </c>
      <c r="B8">
        <v>0.15</v>
      </c>
      <c r="C8">
        <v>0.09</v>
      </c>
      <c r="D8">
        <v>0.15</v>
      </c>
      <c r="E8">
        <v>7.0000000000000007E-2</v>
      </c>
      <c r="F8">
        <v>0.08</v>
      </c>
      <c r="G8">
        <v>0.12</v>
      </c>
      <c r="H8">
        <v>0.22</v>
      </c>
      <c r="I8">
        <v>0.06</v>
      </c>
      <c r="J8">
        <v>7.0000000000000007E-2</v>
      </c>
      <c r="K8">
        <v>0.05</v>
      </c>
      <c r="L8">
        <v>7.0000000000000007E-2</v>
      </c>
      <c r="M8">
        <v>0.2</v>
      </c>
      <c r="N8">
        <v>0.11</v>
      </c>
    </row>
    <row r="9" spans="1:14" x14ac:dyDescent="0.2">
      <c r="A9">
        <v>2008</v>
      </c>
      <c r="B9">
        <v>0.08</v>
      </c>
      <c r="C9">
        <v>0.16</v>
      </c>
      <c r="D9">
        <v>0.12</v>
      </c>
      <c r="E9">
        <v>0.12</v>
      </c>
      <c r="F9">
        <v>0.06</v>
      </c>
      <c r="G9">
        <v>0.02</v>
      </c>
      <c r="H9">
        <v>0.12</v>
      </c>
      <c r="I9">
        <v>0.23</v>
      </c>
      <c r="J9">
        <v>0.05</v>
      </c>
      <c r="K9">
        <v>0.08</v>
      </c>
      <c r="L9">
        <v>0.06</v>
      </c>
      <c r="M9">
        <v>0.19</v>
      </c>
      <c r="N9">
        <v>0.11</v>
      </c>
    </row>
    <row r="10" spans="1:14" x14ac:dyDescent="0.2">
      <c r="A10">
        <v>2009</v>
      </c>
      <c r="B10">
        <v>0.14000000000000001</v>
      </c>
      <c r="C10">
        <v>0.1</v>
      </c>
      <c r="D10">
        <v>0.25</v>
      </c>
      <c r="E10">
        <v>0.13</v>
      </c>
      <c r="F10">
        <v>0.18</v>
      </c>
      <c r="G10">
        <v>0.14000000000000001</v>
      </c>
      <c r="H10">
        <v>0.1</v>
      </c>
      <c r="I10">
        <v>0.16</v>
      </c>
      <c r="J10">
        <v>0.18</v>
      </c>
      <c r="K10">
        <v>0.21</v>
      </c>
      <c r="L10">
        <v>0.2</v>
      </c>
      <c r="M10">
        <v>0.28999999999999998</v>
      </c>
      <c r="N10">
        <v>0.17</v>
      </c>
    </row>
    <row r="11" spans="1:14" x14ac:dyDescent="0.2">
      <c r="A11">
        <v>2010</v>
      </c>
      <c r="B11" t="s">
        <v>0</v>
      </c>
      <c r="C11" t="s">
        <v>0</v>
      </c>
      <c r="D11">
        <v>0.12</v>
      </c>
      <c r="E11">
        <v>0.12</v>
      </c>
      <c r="F11">
        <v>0.1</v>
      </c>
      <c r="G11">
        <v>0.23</v>
      </c>
      <c r="H11">
        <v>0.09</v>
      </c>
      <c r="I11">
        <v>7.0000000000000007E-2</v>
      </c>
      <c r="J11">
        <v>0.15</v>
      </c>
      <c r="K11">
        <v>0.04</v>
      </c>
      <c r="L11">
        <v>0.1</v>
      </c>
      <c r="M11">
        <v>0.14000000000000001</v>
      </c>
      <c r="N11">
        <v>0.12</v>
      </c>
    </row>
    <row r="12" spans="1:14" x14ac:dyDescent="0.2">
      <c r="A12">
        <v>2011</v>
      </c>
      <c r="B12">
        <v>0.08</v>
      </c>
      <c r="C12">
        <v>0.1</v>
      </c>
      <c r="D12">
        <v>0.31</v>
      </c>
      <c r="E12">
        <v>0.06</v>
      </c>
      <c r="F12">
        <v>0.03</v>
      </c>
      <c r="G12">
        <v>0.16</v>
      </c>
      <c r="H12">
        <v>0.06</v>
      </c>
      <c r="I12">
        <v>0.04</v>
      </c>
      <c r="J12">
        <v>0.14000000000000001</v>
      </c>
      <c r="K12">
        <v>0.06</v>
      </c>
      <c r="L12">
        <v>0.22</v>
      </c>
      <c r="M12">
        <v>0.16</v>
      </c>
      <c r="N12">
        <v>0.12</v>
      </c>
    </row>
    <row r="13" spans="1:14" x14ac:dyDescent="0.2">
      <c r="A13">
        <v>2012</v>
      </c>
      <c r="B13">
        <v>0.16</v>
      </c>
      <c r="C13">
        <v>0.06</v>
      </c>
      <c r="D13">
        <v>0.15</v>
      </c>
      <c r="E13">
        <v>0.13</v>
      </c>
      <c r="F13">
        <v>0.21</v>
      </c>
      <c r="G13">
        <v>0.16</v>
      </c>
      <c r="H13">
        <v>0.16</v>
      </c>
      <c r="I13" t="s">
        <v>0</v>
      </c>
      <c r="J13">
        <v>0.14000000000000001</v>
      </c>
      <c r="K13">
        <v>0.13</v>
      </c>
      <c r="L13">
        <v>0.02</v>
      </c>
      <c r="M13">
        <v>0.23</v>
      </c>
      <c r="N13">
        <v>0.14000000000000001</v>
      </c>
    </row>
    <row r="14" spans="1:14" x14ac:dyDescent="0.2">
      <c r="A14">
        <v>2013</v>
      </c>
      <c r="B14">
        <v>0.25</v>
      </c>
      <c r="C14">
        <v>0.15</v>
      </c>
      <c r="D14">
        <v>0.15</v>
      </c>
      <c r="E14">
        <v>0.2</v>
      </c>
      <c r="F14">
        <v>0.17</v>
      </c>
      <c r="G14">
        <v>0.32</v>
      </c>
      <c r="H14">
        <v>0.43</v>
      </c>
      <c r="I14">
        <v>0.35</v>
      </c>
      <c r="J14">
        <v>0.12</v>
      </c>
      <c r="K14">
        <v>7.0000000000000007E-2</v>
      </c>
      <c r="L14">
        <v>0.19</v>
      </c>
      <c r="M14">
        <v>0.26</v>
      </c>
      <c r="N14">
        <v>0.22</v>
      </c>
    </row>
    <row r="15" spans="1:14" x14ac:dyDescent="0.2">
      <c r="A15">
        <v>2014</v>
      </c>
      <c r="B15">
        <v>0.13</v>
      </c>
      <c r="C15">
        <v>0.11</v>
      </c>
      <c r="D15">
        <v>0.12</v>
      </c>
      <c r="E15">
        <v>0.2</v>
      </c>
      <c r="F15">
        <v>0.11</v>
      </c>
      <c r="G15">
        <v>0.1</v>
      </c>
      <c r="H15">
        <v>0.11</v>
      </c>
      <c r="I15">
        <v>0.15</v>
      </c>
      <c r="J15">
        <v>0.14000000000000001</v>
      </c>
      <c r="K15">
        <v>0.15</v>
      </c>
      <c r="L15">
        <v>0.17</v>
      </c>
      <c r="M15">
        <v>0.11</v>
      </c>
      <c r="N15">
        <v>0.13</v>
      </c>
    </row>
    <row r="16" spans="1:14" x14ac:dyDescent="0.2">
      <c r="A16">
        <v>2015</v>
      </c>
      <c r="B16">
        <v>0.16</v>
      </c>
      <c r="C16">
        <v>0.14000000000000001</v>
      </c>
      <c r="D16">
        <v>0.1</v>
      </c>
      <c r="E16">
        <v>0.2</v>
      </c>
      <c r="F16">
        <v>0.04</v>
      </c>
      <c r="G16">
        <v>0.17</v>
      </c>
      <c r="H16">
        <v>0.1</v>
      </c>
      <c r="I16">
        <v>0.15</v>
      </c>
      <c r="J16">
        <v>0.16</v>
      </c>
      <c r="K16">
        <v>0.31</v>
      </c>
      <c r="L16">
        <v>0.33</v>
      </c>
      <c r="M16">
        <v>0.37</v>
      </c>
      <c r="N16">
        <v>0.19</v>
      </c>
    </row>
    <row r="17" spans="1:14" x14ac:dyDescent="0.2">
      <c r="A17">
        <v>2016</v>
      </c>
      <c r="B17">
        <v>0.15</v>
      </c>
      <c r="C17">
        <v>0.17</v>
      </c>
      <c r="D17">
        <v>0.06</v>
      </c>
      <c r="E17">
        <v>0.15</v>
      </c>
      <c r="F17">
        <v>0.18</v>
      </c>
      <c r="G17">
        <v>0.09</v>
      </c>
      <c r="H17">
        <v>0.22</v>
      </c>
      <c r="I17">
        <v>0.12</v>
      </c>
      <c r="J17">
        <v>0.02</v>
      </c>
      <c r="K17">
        <v>0.01</v>
      </c>
      <c r="L17">
        <v>7.0000000000000007E-2</v>
      </c>
      <c r="M17">
        <v>0.12</v>
      </c>
      <c r="N17">
        <v>0.11</v>
      </c>
    </row>
    <row r="18" spans="1:14" x14ac:dyDescent="0.2">
      <c r="A18">
        <v>2017</v>
      </c>
      <c r="B18">
        <v>0.17</v>
      </c>
      <c r="C18">
        <v>0.05</v>
      </c>
      <c r="D18">
        <v>0.15</v>
      </c>
      <c r="E18">
        <v>0.28000000000000003</v>
      </c>
      <c r="F18">
        <v>0.28000000000000003</v>
      </c>
      <c r="G18">
        <v>0.13</v>
      </c>
      <c r="H18">
        <v>0.17</v>
      </c>
      <c r="I18">
        <v>0.24</v>
      </c>
      <c r="J18">
        <v>0.17</v>
      </c>
      <c r="K18">
        <v>0.28999999999999998</v>
      </c>
      <c r="L18">
        <v>0.02</v>
      </c>
      <c r="M18">
        <v>0.11</v>
      </c>
      <c r="N18">
        <v>0.17</v>
      </c>
    </row>
    <row r="19" spans="1:14" x14ac:dyDescent="0.2">
      <c r="A19">
        <v>2018</v>
      </c>
      <c r="B19">
        <v>0.17</v>
      </c>
      <c r="C19">
        <v>0.27</v>
      </c>
      <c r="D19">
        <v>0.16</v>
      </c>
      <c r="E19">
        <v>0.18</v>
      </c>
      <c r="F19">
        <v>0.19</v>
      </c>
      <c r="G19">
        <v>0.28999999999999998</v>
      </c>
      <c r="H19">
        <v>0.15</v>
      </c>
      <c r="I19">
        <v>0.17</v>
      </c>
      <c r="J19">
        <v>0.15</v>
      </c>
      <c r="K19">
        <v>0.16</v>
      </c>
      <c r="L19">
        <v>0.27</v>
      </c>
      <c r="M19">
        <v>0.39</v>
      </c>
      <c r="N19">
        <v>0.21</v>
      </c>
    </row>
    <row r="20" spans="1:14" x14ac:dyDescent="0.2">
      <c r="A20">
        <v>2019</v>
      </c>
      <c r="B20">
        <v>0.19</v>
      </c>
      <c r="C20">
        <v>0.32</v>
      </c>
      <c r="D20">
        <v>0.15</v>
      </c>
      <c r="E20">
        <v>0.24</v>
      </c>
      <c r="F20">
        <v>0.09</v>
      </c>
      <c r="G20">
        <v>0.26</v>
      </c>
      <c r="H20">
        <v>0.15</v>
      </c>
      <c r="I20">
        <v>7.0000000000000007E-2</v>
      </c>
      <c r="J20">
        <v>0.03</v>
      </c>
      <c r="K20">
        <v>0.24</v>
      </c>
      <c r="L20">
        <v>0.13</v>
      </c>
      <c r="M20">
        <v>0.23</v>
      </c>
      <c r="N20">
        <v>0.18</v>
      </c>
    </row>
    <row r="21" spans="1:14" x14ac:dyDescent="0.2">
      <c r="A21">
        <v>2020</v>
      </c>
      <c r="B21">
        <v>0.28000000000000003</v>
      </c>
      <c r="C21">
        <v>0.44</v>
      </c>
      <c r="D21">
        <v>0.17</v>
      </c>
      <c r="E21">
        <v>0.28000000000000003</v>
      </c>
      <c r="F21">
        <v>0.24</v>
      </c>
      <c r="G21">
        <v>0.05</v>
      </c>
      <c r="H21">
        <v>0.16</v>
      </c>
      <c r="I21">
        <v>0.25</v>
      </c>
      <c r="J21">
        <v>0.27</v>
      </c>
      <c r="K21">
        <v>0.27</v>
      </c>
      <c r="L21">
        <v>0.15</v>
      </c>
      <c r="M21">
        <v>0.14000000000000001</v>
      </c>
      <c r="N21">
        <v>0.22</v>
      </c>
    </row>
    <row r="22" spans="1:14" x14ac:dyDescent="0.2">
      <c r="A22">
        <v>2021</v>
      </c>
      <c r="B22">
        <v>0.18</v>
      </c>
      <c r="C22">
        <v>0.2</v>
      </c>
      <c r="D22">
        <v>0.27</v>
      </c>
      <c r="E22">
        <v>0.11</v>
      </c>
      <c r="F22">
        <v>0.14000000000000001</v>
      </c>
      <c r="G22">
        <v>0.19</v>
      </c>
      <c r="H22">
        <v>0.3</v>
      </c>
      <c r="I22">
        <v>0.23</v>
      </c>
      <c r="J22">
        <v>0.11</v>
      </c>
      <c r="K22">
        <v>0.26</v>
      </c>
      <c r="L22">
        <v>0.03</v>
      </c>
      <c r="M22">
        <v>0.12</v>
      </c>
      <c r="N22">
        <v>0.18</v>
      </c>
    </row>
    <row r="23" spans="1:14" x14ac:dyDescent="0.2">
      <c r="A23">
        <v>2022</v>
      </c>
      <c r="B23">
        <v>0.15</v>
      </c>
      <c r="C23">
        <v>0.22</v>
      </c>
      <c r="D23">
        <v>0.19</v>
      </c>
      <c r="E23">
        <v>0.15</v>
      </c>
      <c r="F23">
        <v>0.13</v>
      </c>
      <c r="G23">
        <v>0.05</v>
      </c>
      <c r="H23">
        <v>0.11</v>
      </c>
      <c r="I23">
        <v>0.18</v>
      </c>
      <c r="J23">
        <v>0.2</v>
      </c>
      <c r="K23">
        <v>0.04</v>
      </c>
      <c r="L23">
        <v>0.23</v>
      </c>
      <c r="M23">
        <v>0.17</v>
      </c>
      <c r="N23">
        <v>0.15</v>
      </c>
    </row>
    <row r="24" spans="1:14" x14ac:dyDescent="0.2">
      <c r="A24">
        <v>2023</v>
      </c>
      <c r="B24">
        <v>0.28000000000000003</v>
      </c>
      <c r="C24">
        <v>0.14000000000000001</v>
      </c>
      <c r="D24">
        <v>0.14000000000000001</v>
      </c>
      <c r="E24">
        <v>0.25</v>
      </c>
      <c r="F24">
        <v>0.14000000000000001</v>
      </c>
      <c r="G24">
        <v>0.21</v>
      </c>
      <c r="H24">
        <v>0.15</v>
      </c>
      <c r="I24">
        <v>0.18</v>
      </c>
      <c r="J24">
        <v>0.08</v>
      </c>
      <c r="K24">
        <v>0.04</v>
      </c>
      <c r="L24">
        <v>0.04</v>
      </c>
      <c r="M24">
        <v>0.22</v>
      </c>
      <c r="N24">
        <v>0.16</v>
      </c>
    </row>
    <row r="25" spans="1:14" x14ac:dyDescent="0.2">
      <c r="A25">
        <v>2024</v>
      </c>
      <c r="B25">
        <v>0.34</v>
      </c>
      <c r="C25">
        <v>0.12</v>
      </c>
      <c r="D25">
        <v>0.25</v>
      </c>
      <c r="E25">
        <v>0.08</v>
      </c>
      <c r="F25">
        <v>0.22</v>
      </c>
      <c r="G25">
        <v>0.06</v>
      </c>
      <c r="H25">
        <v>0.17</v>
      </c>
      <c r="I25">
        <v>0.04</v>
      </c>
      <c r="J25">
        <v>0.46</v>
      </c>
      <c r="K25">
        <v>0</v>
      </c>
      <c r="L25">
        <v>0.1</v>
      </c>
      <c r="M25">
        <v>0.26</v>
      </c>
      <c r="N25">
        <v>0.18</v>
      </c>
    </row>
    <row r="26" spans="1:14" x14ac:dyDescent="0.2">
      <c r="A26">
        <v>2025</v>
      </c>
      <c r="B26">
        <v>7.0000000000000007E-2</v>
      </c>
      <c r="C26">
        <v>0.22</v>
      </c>
      <c r="D26">
        <v>0.09</v>
      </c>
      <c r="E26">
        <v>0.17</v>
      </c>
      <c r="F26">
        <v>0.25</v>
      </c>
      <c r="G26">
        <v>0.19</v>
      </c>
      <c r="H26">
        <v>0.19</v>
      </c>
      <c r="I26">
        <v>0.18</v>
      </c>
      <c r="J26">
        <v>0.05</v>
      </c>
      <c r="K26">
        <v>0.15</v>
      </c>
      <c r="L26">
        <v>0.03</v>
      </c>
      <c r="M26">
        <v>7.0000000000000007E-2</v>
      </c>
      <c r="N26">
        <v>0.14000000000000001</v>
      </c>
    </row>
    <row r="27" spans="1:14" x14ac:dyDescent="0.2">
      <c r="A27">
        <v>2026</v>
      </c>
      <c r="B27">
        <v>0.12</v>
      </c>
      <c r="C27">
        <v>0.08</v>
      </c>
      <c r="D27">
        <v>0.09</v>
      </c>
      <c r="E27">
        <v>0.05</v>
      </c>
      <c r="F27" t="s">
        <v>0</v>
      </c>
      <c r="G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  <c r="N27">
        <v>0.09</v>
      </c>
    </row>
    <row r="28" spans="1:14" x14ac:dyDescent="0.2">
      <c r="A28" s="1" t="s">
        <v>1</v>
      </c>
      <c r="B28">
        <v>0.16</v>
      </c>
      <c r="C28">
        <v>0.15</v>
      </c>
      <c r="D28">
        <v>0.16</v>
      </c>
      <c r="E28">
        <v>0.15</v>
      </c>
      <c r="F28">
        <v>0.14000000000000001</v>
      </c>
      <c r="G28">
        <v>0.17</v>
      </c>
      <c r="H28">
        <v>0.17</v>
      </c>
      <c r="I28">
        <v>0.15</v>
      </c>
      <c r="J28">
        <v>0.17</v>
      </c>
      <c r="K28">
        <v>0.12</v>
      </c>
      <c r="L28">
        <v>0.13</v>
      </c>
      <c r="M28">
        <v>0.19</v>
      </c>
      <c r="N28">
        <v>0.15</v>
      </c>
    </row>
    <row r="29" spans="1:14" x14ac:dyDescent="0.2">
      <c r="A29" s="2" t="s">
        <v>2</v>
      </c>
      <c r="B29">
        <v>0.34</v>
      </c>
      <c r="C29">
        <v>0.44</v>
      </c>
      <c r="D29">
        <v>0.31</v>
      </c>
      <c r="E29">
        <v>0.28000000000000003</v>
      </c>
      <c r="F29">
        <v>0.28000000000000003</v>
      </c>
      <c r="G29">
        <v>0.33</v>
      </c>
      <c r="H29">
        <v>0.43</v>
      </c>
      <c r="I29">
        <v>0.35</v>
      </c>
      <c r="J29">
        <v>0.57999999999999996</v>
      </c>
      <c r="K29">
        <v>0.31</v>
      </c>
      <c r="L29">
        <v>0.33</v>
      </c>
      <c r="M29">
        <v>0.39</v>
      </c>
      <c r="N29" s="3">
        <v>0.22</v>
      </c>
    </row>
    <row r="30" spans="1:14" x14ac:dyDescent="0.2">
      <c r="A30" s="2"/>
      <c r="B30">
        <v>2024</v>
      </c>
      <c r="C30">
        <v>2020</v>
      </c>
      <c r="D30">
        <v>2011</v>
      </c>
      <c r="E30">
        <v>2017</v>
      </c>
      <c r="F30">
        <v>2017</v>
      </c>
      <c r="G30">
        <v>2006</v>
      </c>
      <c r="H30">
        <v>2013</v>
      </c>
      <c r="I30">
        <v>2013</v>
      </c>
      <c r="J30">
        <v>2004</v>
      </c>
      <c r="K30">
        <v>2015</v>
      </c>
      <c r="L30">
        <v>2015</v>
      </c>
      <c r="M30">
        <v>2018</v>
      </c>
      <c r="N30" s="3"/>
    </row>
    <row r="31" spans="1:14" x14ac:dyDescent="0.2">
      <c r="A31" s="2" t="s">
        <v>3</v>
      </c>
      <c r="B31">
        <v>0.04</v>
      </c>
      <c r="C31">
        <v>0.05</v>
      </c>
      <c r="D31">
        <v>0.04</v>
      </c>
      <c r="E31">
        <v>0.03</v>
      </c>
      <c r="F31">
        <v>0.01</v>
      </c>
      <c r="G31">
        <v>0.02</v>
      </c>
      <c r="H31">
        <v>0.04</v>
      </c>
      <c r="I31">
        <v>0.04</v>
      </c>
      <c r="J31">
        <v>0.02</v>
      </c>
      <c r="K31">
        <v>0</v>
      </c>
      <c r="L31">
        <v>0.02</v>
      </c>
      <c r="M31">
        <v>7.0000000000000007E-2</v>
      </c>
      <c r="N31" s="3">
        <v>0.09</v>
      </c>
    </row>
    <row r="32" spans="1:14" x14ac:dyDescent="0.2">
      <c r="A32" s="2"/>
      <c r="B32">
        <v>2004</v>
      </c>
      <c r="C32">
        <v>2017</v>
      </c>
      <c r="D32">
        <v>2006</v>
      </c>
      <c r="E32">
        <v>2001</v>
      </c>
      <c r="F32">
        <v>2000</v>
      </c>
      <c r="G32">
        <v>2008</v>
      </c>
      <c r="H32">
        <v>2002</v>
      </c>
      <c r="I32">
        <v>2024</v>
      </c>
      <c r="J32">
        <v>2016</v>
      </c>
      <c r="K32">
        <v>2000</v>
      </c>
      <c r="L32">
        <v>2017</v>
      </c>
      <c r="M32">
        <v>2025</v>
      </c>
      <c r="N32" s="3"/>
    </row>
    <row r="34" spans="1:8" x14ac:dyDescent="0.2">
      <c r="A34" t="s">
        <v>22</v>
      </c>
    </row>
    <row r="36" spans="1:8" x14ac:dyDescent="0.2">
      <c r="A36" s="1" t="s">
        <v>4</v>
      </c>
      <c r="B36" s="1" t="s">
        <v>5</v>
      </c>
      <c r="C36" s="1" t="s">
        <v>6</v>
      </c>
      <c r="D36" s="1" t="s">
        <v>7</v>
      </c>
      <c r="E36" s="1" t="s">
        <v>8</v>
      </c>
    </row>
    <row r="37" spans="1:8" x14ac:dyDescent="0.2">
      <c r="A37" s="1" t="s">
        <v>9</v>
      </c>
      <c r="B37">
        <v>5.24</v>
      </c>
      <c r="C37">
        <v>52.5</v>
      </c>
      <c r="D37">
        <v>30.4</v>
      </c>
      <c r="E37">
        <v>41.5</v>
      </c>
      <c r="G37" s="4">
        <f>5/9*(C37-32)</f>
        <v>11.388888888888889</v>
      </c>
      <c r="H37" s="4">
        <f>5/9*(D37-32)</f>
        <v>-0.88888888888888973</v>
      </c>
    </row>
    <row r="38" spans="1:8" x14ac:dyDescent="0.2">
      <c r="A38" s="1" t="s">
        <v>10</v>
      </c>
      <c r="B38">
        <v>4.54</v>
      </c>
      <c r="C38">
        <v>56.1</v>
      </c>
      <c r="D38">
        <v>32.700000000000003</v>
      </c>
      <c r="E38">
        <v>44.4</v>
      </c>
      <c r="G38" s="4">
        <f t="shared" ref="G38:G49" si="0">5/9*(C38-32)</f>
        <v>13.388888888888891</v>
      </c>
      <c r="H38" s="4">
        <f t="shared" ref="H38:H49" si="1">5/9*(D38-32)</f>
        <v>0.3888888888888905</v>
      </c>
    </row>
    <row r="39" spans="1:8" x14ac:dyDescent="0.2">
      <c r="A39" s="1" t="s">
        <v>11</v>
      </c>
      <c r="B39">
        <v>4.92</v>
      </c>
      <c r="C39">
        <v>63.7</v>
      </c>
      <c r="D39">
        <v>39</v>
      </c>
      <c r="E39">
        <v>51.3</v>
      </c>
      <c r="G39" s="4">
        <f t="shared" si="0"/>
        <v>17.611111111111114</v>
      </c>
      <c r="H39" s="4">
        <f t="shared" si="1"/>
        <v>3.8888888888888893</v>
      </c>
    </row>
    <row r="40" spans="1:8" x14ac:dyDescent="0.2">
      <c r="A40" s="1" t="s">
        <v>12</v>
      </c>
      <c r="B40">
        <v>4.68</v>
      </c>
      <c r="C40">
        <v>72.900000000000006</v>
      </c>
      <c r="D40">
        <v>46.8</v>
      </c>
      <c r="E40">
        <v>59.8</v>
      </c>
      <c r="G40" s="4">
        <f t="shared" si="0"/>
        <v>22.722222222222225</v>
      </c>
      <c r="H40" s="4">
        <f t="shared" si="1"/>
        <v>8.2222222222222214</v>
      </c>
    </row>
    <row r="41" spans="1:8" x14ac:dyDescent="0.2">
      <c r="A41" s="1" t="s">
        <v>13</v>
      </c>
      <c r="B41">
        <v>3.98</v>
      </c>
      <c r="C41">
        <v>79.8</v>
      </c>
      <c r="D41">
        <v>56.6</v>
      </c>
      <c r="E41">
        <v>68.2</v>
      </c>
      <c r="G41" s="4">
        <f t="shared" si="0"/>
        <v>26.555555555555554</v>
      </c>
      <c r="H41" s="4">
        <f t="shared" si="1"/>
        <v>13.666666666666668</v>
      </c>
    </row>
    <row r="42" spans="1:8" x14ac:dyDescent="0.2">
      <c r="A42" s="1" t="s">
        <v>14</v>
      </c>
      <c r="B42">
        <v>5.0199999999999996</v>
      </c>
      <c r="C42">
        <v>86.4</v>
      </c>
      <c r="D42">
        <v>65.099999999999994</v>
      </c>
      <c r="E42">
        <v>75.8</v>
      </c>
      <c r="G42" s="4">
        <f t="shared" si="0"/>
        <v>30.222222222222225</v>
      </c>
      <c r="H42" s="4">
        <f t="shared" si="1"/>
        <v>18.388888888888886</v>
      </c>
    </row>
    <row r="43" spans="1:8" x14ac:dyDescent="0.2">
      <c r="A43" s="1" t="s">
        <v>15</v>
      </c>
      <c r="B43">
        <v>4.75</v>
      </c>
      <c r="C43">
        <v>89.8</v>
      </c>
      <c r="D43">
        <v>68.900000000000006</v>
      </c>
      <c r="E43">
        <v>79.3</v>
      </c>
      <c r="G43" s="4">
        <f t="shared" si="0"/>
        <v>32.111111111111114</v>
      </c>
      <c r="H43" s="4">
        <f t="shared" si="1"/>
        <v>20.500000000000004</v>
      </c>
    </row>
    <row r="44" spans="1:8" x14ac:dyDescent="0.2">
      <c r="A44" s="1" t="s">
        <v>16</v>
      </c>
      <c r="B44">
        <v>5.07</v>
      </c>
      <c r="C44">
        <v>88.2</v>
      </c>
      <c r="D44">
        <v>68.099999999999994</v>
      </c>
      <c r="E44">
        <v>78.2</v>
      </c>
      <c r="G44" s="4">
        <f t="shared" si="0"/>
        <v>31.222222222222225</v>
      </c>
      <c r="H44" s="4">
        <f t="shared" si="1"/>
        <v>20.055555555555554</v>
      </c>
    </row>
    <row r="45" spans="1:8" x14ac:dyDescent="0.2">
      <c r="A45" s="1" t="s">
        <v>17</v>
      </c>
      <c r="B45">
        <v>4.54</v>
      </c>
      <c r="C45">
        <v>82.9</v>
      </c>
      <c r="D45">
        <v>61.8</v>
      </c>
      <c r="E45">
        <v>72.3</v>
      </c>
      <c r="G45" s="4">
        <f t="shared" si="0"/>
        <v>28.277777777777782</v>
      </c>
      <c r="H45" s="4">
        <f t="shared" si="1"/>
        <v>16.555555555555554</v>
      </c>
    </row>
    <row r="46" spans="1:8" x14ac:dyDescent="0.2">
      <c r="A46" s="1" t="s">
        <v>18</v>
      </c>
      <c r="B46">
        <v>4.0599999999999996</v>
      </c>
      <c r="C46">
        <v>73.400000000000006</v>
      </c>
      <c r="D46">
        <v>49.2</v>
      </c>
      <c r="E46">
        <v>61.3</v>
      </c>
      <c r="G46" s="4">
        <f t="shared" si="0"/>
        <v>23.000000000000004</v>
      </c>
      <c r="H46" s="4">
        <f t="shared" si="1"/>
        <v>9.5555555555555571</v>
      </c>
    </row>
    <row r="47" spans="1:8" x14ac:dyDescent="0.2">
      <c r="A47" s="1" t="s">
        <v>19</v>
      </c>
      <c r="B47">
        <v>4.2</v>
      </c>
      <c r="C47">
        <v>63.1</v>
      </c>
      <c r="D47">
        <v>38.200000000000003</v>
      </c>
      <c r="E47">
        <v>50.7</v>
      </c>
      <c r="G47" s="4">
        <f t="shared" si="0"/>
        <v>17.277777777777779</v>
      </c>
      <c r="H47" s="4">
        <f t="shared" si="1"/>
        <v>3.444444444444446</v>
      </c>
    </row>
    <row r="48" spans="1:8" x14ac:dyDescent="0.2">
      <c r="A48" s="1" t="s">
        <v>20</v>
      </c>
      <c r="B48">
        <v>5.67</v>
      </c>
      <c r="C48">
        <v>54.9</v>
      </c>
      <c r="D48">
        <v>33.1</v>
      </c>
      <c r="E48">
        <v>44</v>
      </c>
      <c r="G48" s="4">
        <f t="shared" si="0"/>
        <v>12.722222222222221</v>
      </c>
      <c r="H48" s="4">
        <f t="shared" si="1"/>
        <v>0.61111111111111194</v>
      </c>
    </row>
    <row r="49" spans="1:8" x14ac:dyDescent="0.2">
      <c r="A49" s="1" t="s">
        <v>21</v>
      </c>
      <c r="B49">
        <v>56.67</v>
      </c>
      <c r="C49">
        <v>72</v>
      </c>
      <c r="D49">
        <v>49.2</v>
      </c>
      <c r="E49">
        <v>60.6</v>
      </c>
      <c r="G49" s="4">
        <f t="shared" si="0"/>
        <v>22.222222222222221</v>
      </c>
      <c r="H49" s="4">
        <f t="shared" si="1"/>
        <v>9.5555555555555571</v>
      </c>
    </row>
    <row r="50" spans="1:8" x14ac:dyDescent="0.2">
      <c r="B50" s="4">
        <f>B49*2.54</f>
        <v>143.9418</v>
      </c>
      <c r="C50" s="4">
        <f>5/9*(C49-32)</f>
        <v>22.222222222222221</v>
      </c>
      <c r="D50" s="4">
        <f>5/9*(D49-32)</f>
        <v>9.5555555555555571</v>
      </c>
      <c r="E50" s="4">
        <f>5/9*(E49-32)</f>
        <v>15.888888888888891</v>
      </c>
    </row>
  </sheetData>
  <mergeCells count="4">
    <mergeCell ref="A29:A30"/>
    <mergeCell ref="N29:N30"/>
    <mergeCell ref="A31:A32"/>
    <mergeCell ref="N31:N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 Flinchum</dc:creator>
  <cp:lastModifiedBy>Brady Flinchum</cp:lastModifiedBy>
  <dcterms:created xsi:type="dcterms:W3CDTF">2026-05-20T01:47:08Z</dcterms:created>
  <dcterms:modified xsi:type="dcterms:W3CDTF">2026-05-20T01:53:35Z</dcterms:modified>
</cp:coreProperties>
</file>