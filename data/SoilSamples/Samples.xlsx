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staff-my.sharepoint.com/personal/baf739_newcastle_edu_au/Documents/Documents/Research/Manuscripts/BoggsRock/Data/SoilSamples/"/>
    </mc:Choice>
  </mc:AlternateContent>
  <xr:revisionPtr revIDLastSave="7" documentId="13_ncr:1_{B78E9E9B-814D-7C4A-AB20-5E5EFCA8E109}" xr6:coauthVersionLast="47" xr6:coauthVersionMax="47" xr10:uidLastSave="{84EC8D3E-A26C-444F-B8F7-C74E6120F837}"/>
  <bookViews>
    <workbookView xWindow="0" yWindow="760" windowWidth="30240" windowHeight="18880" xr2:uid="{3E7AE03E-00B7-4545-A3B6-2D5A91006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<sst xmlns="http://schemas.openxmlformats.org/spreadsheetml/2006/main" count="140" uniqueCount="43">
  <si>
    <t>Date</t>
  </si>
  <si>
    <t>LabNumber</t>
  </si>
  <si>
    <t>Name</t>
  </si>
  <si>
    <t>Sample#</t>
  </si>
  <si>
    <t>SoilpH</t>
  </si>
  <si>
    <t>BufferpH</t>
  </si>
  <si>
    <t>P</t>
  </si>
  <si>
    <t>K</t>
  </si>
  <si>
    <t>Ca</t>
  </si>
  <si>
    <t>Mg</t>
  </si>
  <si>
    <t>Zn</t>
  </si>
  <si>
    <t>Mn</t>
  </si>
  <si>
    <t>Cu</t>
  </si>
  <si>
    <t>B</t>
  </si>
  <si>
    <t>Na</t>
  </si>
  <si>
    <t>S</t>
  </si>
  <si>
    <t>EC</t>
  </si>
  <si>
    <t>NO3-N</t>
  </si>
  <si>
    <t>OM</t>
  </si>
  <si>
    <t>CEC</t>
  </si>
  <si>
    <t>Acidity</t>
  </si>
  <si>
    <t>Ca%BS</t>
  </si>
  <si>
    <t>Mg%BS</t>
  </si>
  <si>
    <t>K%BS</t>
  </si>
  <si>
    <t>Na%BS</t>
  </si>
  <si>
    <t>Total%BS</t>
  </si>
  <si>
    <t>Crop</t>
  </si>
  <si>
    <t>N</t>
  </si>
  <si>
    <t>P2O5</t>
  </si>
  <si>
    <t>K2O</t>
  </si>
  <si>
    <t>Comments</t>
  </si>
  <si>
    <t>Flinchum, Brady</t>
  </si>
  <si>
    <t>Distance</t>
  </si>
  <si>
    <t>Depth</t>
  </si>
  <si>
    <t>0-25</t>
  </si>
  <si>
    <t>25-50</t>
  </si>
  <si>
    <t>&gt;50</t>
  </si>
  <si>
    <t>&gt;25</t>
  </si>
  <si>
    <t>Target pH 5.5</t>
  </si>
  <si>
    <t>Target pH 6.0</t>
  </si>
  <si>
    <t>Target pH 6.5</t>
  </si>
  <si>
    <t>C
 %</t>
  </si>
  <si>
    <t>N
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</si>
</sst>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9"/>
      <color rgb="FFFFFFFF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C700A"/>
        <bgColor rgb="FFEC700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2" borderId="1" xfId="0" applyFont="1" applyFill="1" applyBorder="1" applyAlignment="1">
      <alignment horizontal="center" vertical="top" wrapText="1" readingOrder="1"/>
    </xf>
    <xf numFmtId="0" fontId="2" fillId="2" borderId="0" xfId="0" applyFont="1" applyFill="1" applyAlignment="1">
      <alignment horizontal="center" vertical="top" wrapText="1" readingOrder="1"/>
    </xf>
    <xf numFmtId="0" fontId="3" fillId="3" borderId="0" xfId="0" applyFont="1" applyFill="1" applyAlignment="1">
      <alignment horizontal="center" vertical="top" wrapText="1" readingOrder="1"/>
    </xf>
    <xf numFmtId="0" fontId="3" fillId="3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Sheet1!$W$1</c:f>
              <c:strCache>
                <c:ptCount val="1"/>
                <c:pt idx="0">
                  <c:v>NO3-N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Sheet1!$E$2:$E$37</c:f>
              <c:numCache>
                <c:formatCode>General</c:formatCode>
                <c:ptCount val="3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45</c:v>
                </c:pt>
                <c:pt idx="9">
                  <c:v>50</c:v>
                </c:pt>
                <c:pt idx="10">
                  <c:v>50</c:v>
                </c:pt>
                <c:pt idx="11">
                  <c:v>54</c:v>
                </c:pt>
                <c:pt idx="12">
                  <c:v>54</c:v>
                </c:pt>
                <c:pt idx="13">
                  <c:v>54</c:v>
                </c:pt>
                <c:pt idx="14">
                  <c:v>60</c:v>
                </c:pt>
                <c:pt idx="15">
                  <c:v>65</c:v>
                </c:pt>
                <c:pt idx="16">
                  <c:v>65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80</c:v>
                </c:pt>
                <c:pt idx="24">
                  <c:v>80</c:v>
                </c:pt>
                <c:pt idx="25">
                  <c:v>84</c:v>
                </c:pt>
                <c:pt idx="26">
                  <c:v>84</c:v>
                </c:pt>
                <c:pt idx="27">
                  <c:v>90</c:v>
                </c:pt>
                <c:pt idx="28">
                  <c:v>95</c:v>
                </c:pt>
                <c:pt idx="29">
                  <c:v>105</c:v>
                </c:pt>
                <c:pt idx="30">
                  <c:v>110</c:v>
                </c:pt>
                <c:pt idx="31">
                  <c:v>160</c:v>
                </c:pt>
                <c:pt idx="32">
                  <c:v>170</c:v>
                </c:pt>
                <c:pt idx="33">
                  <c:v>176</c:v>
                </c:pt>
                <c:pt idx="34">
                  <c:v>180</c:v>
                </c:pt>
                <c:pt idx="35">
                  <c:v>190</c:v>
                </c:pt>
              </c:numCache>
            </c:numRef>
          </c:xVal>
          <c:yVal>
            <c:numRef>
              <c:f>Sheet1!$W$2:$W$37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14</c:v>
                </c:pt>
                <c:pt idx="6">
                  <c:v>4</c:v>
                </c:pt>
                <c:pt idx="7">
                  <c:v>5</c:v>
                </c:pt>
                <c:pt idx="8">
                  <c:v>9</c:v>
                </c:pt>
                <c:pt idx="9">
                  <c:v>10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7</c:v>
                </c:pt>
                <c:pt idx="14">
                  <c:v>23</c:v>
                </c:pt>
                <c:pt idx="15">
                  <c:v>6</c:v>
                </c:pt>
                <c:pt idx="16">
                  <c:v>4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12</c:v>
                </c:pt>
                <c:pt idx="26">
                  <c:v>11</c:v>
                </c:pt>
                <c:pt idx="27">
                  <c:v>8</c:v>
                </c:pt>
                <c:pt idx="28">
                  <c:v>17</c:v>
                </c:pt>
                <c:pt idx="29">
                  <c:v>13</c:v>
                </c:pt>
                <c:pt idx="30">
                  <c:v>23</c:v>
                </c:pt>
                <c:pt idx="31">
                  <c:v>8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CB-3E40-BEE5-83D29DEF6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866816"/>
        <c:axId val="680584160"/>
      </c:scatterChart>
      <c:valAx>
        <c:axId val="177386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84160"/>
        <c:crosses val="autoZero"/>
        <c:crossBetween val="midCat"/>
      </c:valAx>
      <c:valAx>
        <c:axId val="68058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866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C:N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Sheet1!$E$2:$E$37</c:f>
              <c:numCache>
                <c:formatCode>General</c:formatCode>
                <c:ptCount val="3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45</c:v>
                </c:pt>
                <c:pt idx="9">
                  <c:v>50</c:v>
                </c:pt>
                <c:pt idx="10">
                  <c:v>50</c:v>
                </c:pt>
                <c:pt idx="11">
                  <c:v>54</c:v>
                </c:pt>
                <c:pt idx="12">
                  <c:v>54</c:v>
                </c:pt>
                <c:pt idx="13">
                  <c:v>54</c:v>
                </c:pt>
                <c:pt idx="14">
                  <c:v>60</c:v>
                </c:pt>
                <c:pt idx="15">
                  <c:v>65</c:v>
                </c:pt>
                <c:pt idx="16">
                  <c:v>65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80</c:v>
                </c:pt>
                <c:pt idx="24">
                  <c:v>80</c:v>
                </c:pt>
                <c:pt idx="25">
                  <c:v>84</c:v>
                </c:pt>
                <c:pt idx="26">
                  <c:v>84</c:v>
                </c:pt>
                <c:pt idx="27">
                  <c:v>90</c:v>
                </c:pt>
                <c:pt idx="28">
                  <c:v>95</c:v>
                </c:pt>
                <c:pt idx="29">
                  <c:v>105</c:v>
                </c:pt>
                <c:pt idx="30">
                  <c:v>110</c:v>
                </c:pt>
                <c:pt idx="31">
                  <c:v>160</c:v>
                </c:pt>
                <c:pt idx="32">
                  <c:v>170</c:v>
                </c:pt>
                <c:pt idx="33">
                  <c:v>176</c:v>
                </c:pt>
                <c:pt idx="34">
                  <c:v>180</c:v>
                </c:pt>
                <c:pt idx="35">
                  <c:v>190</c:v>
                </c:pt>
              </c:numCache>
            </c:numRef>
          </c:xVal>
          <c:yVal>
            <c:numRef>
              <c:f>Sheet1!$I$2:$I$37</c:f>
              <c:numCache>
                <c:formatCode>General</c:formatCode>
                <c:ptCount val="36"/>
                <c:pt idx="0">
                  <c:v>25.551515151515151</c:v>
                </c:pt>
                <c:pt idx="1">
                  <c:v>24.013029315960914</c:v>
                </c:pt>
                <c:pt idx="2">
                  <c:v>17.557782231128922</c:v>
                </c:pt>
                <c:pt idx="3">
                  <c:v>20.391923990498814</c:v>
                </c:pt>
                <c:pt idx="4">
                  <c:v>16.00197628458498</c:v>
                </c:pt>
                <c:pt idx="5">
                  <c:v>17.267932489451479</c:v>
                </c:pt>
                <c:pt idx="6">
                  <c:v>19.13075780089153</c:v>
                </c:pt>
                <c:pt idx="7">
                  <c:v>19.429959977129787</c:v>
                </c:pt>
                <c:pt idx="8">
                  <c:v>18.674897119341566</c:v>
                </c:pt>
                <c:pt idx="9">
                  <c:v>18.81725888324873</c:v>
                </c:pt>
                <c:pt idx="10">
                  <c:v>22.54954954954955</c:v>
                </c:pt>
                <c:pt idx="11">
                  <c:v>23.216216216216218</c:v>
                </c:pt>
                <c:pt idx="12">
                  <c:v>29.482352941176465</c:v>
                </c:pt>
                <c:pt idx="13">
                  <c:v>25.514563106796118</c:v>
                </c:pt>
                <c:pt idx="14">
                  <c:v>21.429629629629627</c:v>
                </c:pt>
                <c:pt idx="15">
                  <c:v>22.847953216374268</c:v>
                </c:pt>
                <c:pt idx="16">
                  <c:v>28.617449664429532</c:v>
                </c:pt>
                <c:pt idx="17">
                  <c:v>26.518918918918917</c:v>
                </c:pt>
                <c:pt idx="18">
                  <c:v>29.081395348837212</c:v>
                </c:pt>
                <c:pt idx="19">
                  <c:v>33.711864406779668</c:v>
                </c:pt>
                <c:pt idx="20">
                  <c:v>33.063063063063062</c:v>
                </c:pt>
                <c:pt idx="21">
                  <c:v>29.065573770491802</c:v>
                </c:pt>
                <c:pt idx="22">
                  <c:v>45.345454545454551</c:v>
                </c:pt>
                <c:pt idx="23">
                  <c:v>37.253246753246756</c:v>
                </c:pt>
                <c:pt idx="24">
                  <c:v>24.704347826086956</c:v>
                </c:pt>
                <c:pt idx="25">
                  <c:v>22.25</c:v>
                </c:pt>
                <c:pt idx="26">
                  <c:v>24.70121951219512</c:v>
                </c:pt>
                <c:pt idx="27">
                  <c:v>23.995098039215687</c:v>
                </c:pt>
                <c:pt idx="28">
                  <c:v>19.971493728620295</c:v>
                </c:pt>
                <c:pt idx="29">
                  <c:v>16.727520435967303</c:v>
                </c:pt>
                <c:pt idx="30">
                  <c:v>16.24263431542461</c:v>
                </c:pt>
                <c:pt idx="31">
                  <c:v>19.520599250936328</c:v>
                </c:pt>
                <c:pt idx="32">
                  <c:v>60.666666666666679</c:v>
                </c:pt>
                <c:pt idx="33">
                  <c:v>68.849999999999994</c:v>
                </c:pt>
                <c:pt idx="34">
                  <c:v>31.349206349206352</c:v>
                </c:pt>
                <c:pt idx="35">
                  <c:v>157.52941176470586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8F-5747-B718-90FCC33B1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866816"/>
        <c:axId val="680584160"/>
      </c:scatterChart>
      <c:valAx>
        <c:axId val="177386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84160"/>
        <c:crosses val="autoZero"/>
        <c:crossBetween val="midCat"/>
      </c:valAx>
      <c:valAx>
        <c:axId val="68058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866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SoilpH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Sheet1!$E$2:$E$37</c:f>
              <c:numCache>
                <c:formatCode>General</c:formatCode>
                <c:ptCount val="3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45</c:v>
                </c:pt>
                <c:pt idx="9">
                  <c:v>50</c:v>
                </c:pt>
                <c:pt idx="10">
                  <c:v>50</c:v>
                </c:pt>
                <c:pt idx="11">
                  <c:v>54</c:v>
                </c:pt>
                <c:pt idx="12">
                  <c:v>54</c:v>
                </c:pt>
                <c:pt idx="13">
                  <c:v>54</c:v>
                </c:pt>
                <c:pt idx="14">
                  <c:v>60</c:v>
                </c:pt>
                <c:pt idx="15">
                  <c:v>65</c:v>
                </c:pt>
                <c:pt idx="16">
                  <c:v>65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80</c:v>
                </c:pt>
                <c:pt idx="24">
                  <c:v>80</c:v>
                </c:pt>
                <c:pt idx="25">
                  <c:v>84</c:v>
                </c:pt>
                <c:pt idx="26">
                  <c:v>84</c:v>
                </c:pt>
                <c:pt idx="27">
                  <c:v>90</c:v>
                </c:pt>
                <c:pt idx="28">
                  <c:v>95</c:v>
                </c:pt>
                <c:pt idx="29">
                  <c:v>105</c:v>
                </c:pt>
                <c:pt idx="30">
                  <c:v>110</c:v>
                </c:pt>
                <c:pt idx="31">
                  <c:v>160</c:v>
                </c:pt>
                <c:pt idx="32">
                  <c:v>170</c:v>
                </c:pt>
                <c:pt idx="33">
                  <c:v>176</c:v>
                </c:pt>
                <c:pt idx="34">
                  <c:v>180</c:v>
                </c:pt>
                <c:pt idx="35">
                  <c:v>190</c:v>
                </c:pt>
              </c:numCache>
            </c:numRef>
          </c:xVal>
          <c:yVal>
            <c:numRef>
              <c:f>Sheet1!$J$2:$J$37</c:f>
              <c:numCache>
                <c:formatCode>General</c:formatCode>
                <c:ptCount val="36"/>
                <c:pt idx="0">
                  <c:v>4.9000000000000004</c:v>
                </c:pt>
                <c:pt idx="1">
                  <c:v>4.0999999999999996</c:v>
                </c:pt>
                <c:pt idx="2">
                  <c:v>4.3</c:v>
                </c:pt>
                <c:pt idx="3">
                  <c:v>4.0999999999999996</c:v>
                </c:pt>
                <c:pt idx="4">
                  <c:v>4.4000000000000004</c:v>
                </c:pt>
                <c:pt idx="5">
                  <c:v>4.3</c:v>
                </c:pt>
                <c:pt idx="6">
                  <c:v>4.2</c:v>
                </c:pt>
                <c:pt idx="7">
                  <c:v>4.2</c:v>
                </c:pt>
                <c:pt idx="8">
                  <c:v>4.8</c:v>
                </c:pt>
                <c:pt idx="9">
                  <c:v>4.5999999999999996</c:v>
                </c:pt>
                <c:pt idx="10">
                  <c:v>4.7</c:v>
                </c:pt>
                <c:pt idx="11">
                  <c:v>4.7</c:v>
                </c:pt>
                <c:pt idx="12">
                  <c:v>4.9000000000000004</c:v>
                </c:pt>
                <c:pt idx="13">
                  <c:v>4.8</c:v>
                </c:pt>
                <c:pt idx="14">
                  <c:v>4.5999999999999996</c:v>
                </c:pt>
                <c:pt idx="15">
                  <c:v>5</c:v>
                </c:pt>
                <c:pt idx="16">
                  <c:v>5.0999999999999996</c:v>
                </c:pt>
                <c:pt idx="17">
                  <c:v>5</c:v>
                </c:pt>
                <c:pt idx="18">
                  <c:v>5</c:v>
                </c:pt>
                <c:pt idx="19">
                  <c:v>5.0999999999999996</c:v>
                </c:pt>
                <c:pt idx="20">
                  <c:v>5.0999999999999996</c:v>
                </c:pt>
                <c:pt idx="21">
                  <c:v>5.0999999999999996</c:v>
                </c:pt>
                <c:pt idx="22">
                  <c:v>5.0999999999999996</c:v>
                </c:pt>
                <c:pt idx="23">
                  <c:v>5.2</c:v>
                </c:pt>
                <c:pt idx="24">
                  <c:v>5.0999999999999996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4.7</c:v>
                </c:pt>
                <c:pt idx="28">
                  <c:v>4.7</c:v>
                </c:pt>
                <c:pt idx="29">
                  <c:v>4.4000000000000004</c:v>
                </c:pt>
                <c:pt idx="30">
                  <c:v>4.9000000000000004</c:v>
                </c:pt>
                <c:pt idx="31">
                  <c:v>4.9000000000000004</c:v>
                </c:pt>
                <c:pt idx="32">
                  <c:v>5.4</c:v>
                </c:pt>
                <c:pt idx="33">
                  <c:v>5.6</c:v>
                </c:pt>
                <c:pt idx="34">
                  <c:v>5.5</c:v>
                </c:pt>
                <c:pt idx="35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EE-7648-AB3A-173AC9894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866816"/>
        <c:axId val="680584160"/>
      </c:scatterChart>
      <c:valAx>
        <c:axId val="177386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84160"/>
        <c:crosses val="autoZero"/>
        <c:crossBetween val="midCat"/>
      </c:valAx>
      <c:valAx>
        <c:axId val="680584160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866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717970</xdr:colOff>
      <xdr:row>11</xdr:row>
      <xdr:rowOff>153182</xdr:rowOff>
    </xdr:from>
    <xdr:to>
      <xdr:col>31</xdr:col>
      <xdr:colOff>607358</xdr:colOff>
      <xdr:row>25</xdr:row>
      <xdr:rowOff>33609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0377D3-DDDA-DCE7-5B44-8357ADFDC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713544</xdr:colOff>
      <xdr:row>12</xdr:row>
      <xdr:rowOff>142240</xdr:rowOff>
    </xdr:from>
    <xdr:to>
      <xdr:col>27</xdr:col>
      <xdr:colOff>602931</xdr:colOff>
      <xdr:row>37</xdr:row>
      <xdr:rowOff>193040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2C006D-64EB-714B-B097-DC2929224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626013</xdr:colOff>
      <xdr:row>0</xdr:row>
      <xdr:rowOff>310641</xdr:rowOff>
    </xdr:from>
    <xdr:to>
      <xdr:col>34</xdr:col>
      <xdr:colOff>513056</xdr:colOff>
      <xdr:row>13</xdr:row>
      <xdr:rowOff>164161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479EC7-D5E7-3149-AD9F-C15716795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AA488-19E3-B14C-8355-E9BC8CE44743}">
  <dimension ref="A1:CJ37"/>
  <sheetViews>
    <sheetView tabSelected="1" topLeftCell="A4" zoomScale="125" workbookViewId="0">
      <selection activeCell="Z1" sqref="J1:Z1"/>
    </sheetView>
  </sheetViews>
  <sheetFormatPr baseColWidth="10" defaultRowHeight="16" x14ac:dyDescent="0.2"/>
  <sheetData>
    <row r="1" spans="1:88" ht="26" x14ac:dyDescent="0.25">
      <c r="A1" s="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  <c r="G1" s="3" t="s">
        <v>41</v>
      </c>
      <c r="H1" s="3" t="s">
        <v>42</v>
      </c>
      <c r="I1" s="4"/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29</v>
      </c>
      <c r="AG1" t="s">
        <v>8</v>
      </c>
      <c r="AH1" t="s">
        <v>9</v>
      </c>
      <c r="AI1" t="s">
        <v>10</v>
      </c>
      <c r="AJ1" t="s">
        <v>11</v>
      </c>
      <c r="AK1" t="s">
        <v>12</v>
      </c>
      <c r="AL1" t="s">
        <v>13</v>
      </c>
      <c r="AM1" t="s">
        <v>15</v>
      </c>
      <c r="AN1" t="s">
        <v>38</v>
      </c>
      <c r="AO1" t="s">
        <v>39</v>
      </c>
      <c r="AP1" t="s">
        <v>40</v>
      </c>
      <c r="AQ1" t="s">
        <v>30</v>
      </c>
      <c r="AR1" t="s">
        <v>26</v>
      </c>
      <c r="AS1" t="s">
        <v>27</v>
      </c>
      <c r="AT1" t="s">
        <v>28</v>
      </c>
      <c r="AU1" t="s">
        <v>29</v>
      </c>
      <c r="AV1" t="s">
        <v>8</v>
      </c>
      <c r="AW1" t="s">
        <v>9</v>
      </c>
      <c r="AX1" t="s">
        <v>10</v>
      </c>
      <c r="AY1" t="s">
        <v>11</v>
      </c>
      <c r="AZ1" t="s">
        <v>12</v>
      </c>
      <c r="BA1" t="s">
        <v>13</v>
      </c>
      <c r="BB1" t="s">
        <v>15</v>
      </c>
      <c r="BC1" t="s">
        <v>38</v>
      </c>
      <c r="BD1" t="s">
        <v>39</v>
      </c>
      <c r="BE1" t="s">
        <v>40</v>
      </c>
      <c r="BF1" t="s">
        <v>30</v>
      </c>
      <c r="BG1" t="s">
        <v>26</v>
      </c>
      <c r="BH1" t="s">
        <v>27</v>
      </c>
      <c r="BI1" t="s">
        <v>28</v>
      </c>
      <c r="BJ1" t="s">
        <v>29</v>
      </c>
      <c r="BK1" t="s">
        <v>8</v>
      </c>
      <c r="BL1" t="s">
        <v>9</v>
      </c>
      <c r="BM1" t="s">
        <v>10</v>
      </c>
      <c r="BN1" t="s">
        <v>11</v>
      </c>
      <c r="BO1" t="s">
        <v>12</v>
      </c>
      <c r="BP1" t="s">
        <v>13</v>
      </c>
      <c r="BQ1" t="s">
        <v>15</v>
      </c>
      <c r="BR1" t="s">
        <v>38</v>
      </c>
      <c r="BS1" t="s">
        <v>39</v>
      </c>
      <c r="BT1" t="s">
        <v>40</v>
      </c>
      <c r="BU1" t="s">
        <v>30</v>
      </c>
      <c r="BV1" t="s">
        <v>26</v>
      </c>
      <c r="BW1" t="s">
        <v>27</v>
      </c>
      <c r="BX1" t="s">
        <v>28</v>
      </c>
      <c r="BY1" t="s">
        <v>29</v>
      </c>
      <c r="BZ1" t="s">
        <v>8</v>
      </c>
      <c r="CA1" t="s">
        <v>9</v>
      </c>
      <c r="CB1" t="s">
        <v>10</v>
      </c>
      <c r="CC1" t="s">
        <v>11</v>
      </c>
      <c r="CD1" t="s">
        <v>12</v>
      </c>
      <c r="CE1" t="s">
        <v>13</v>
      </c>
      <c r="CF1" t="s">
        <v>15</v>
      </c>
      <c r="CG1" t="s">
        <v>38</v>
      </c>
      <c r="CH1" t="s">
        <v>39</v>
      </c>
      <c r="CI1" t="s">
        <v>40</v>
      </c>
      <c r="CJ1" t="s">
        <v>30</v>
      </c>
    </row>
    <row r="2" spans="1:88" ht="17" x14ac:dyDescent="0.25">
      <c r="A2" s="2">
        <v>45621</v>
      </c>
      <c r="B2">
        <v>24111761</v>
      </c>
      <c r="C2" t="s">
        <v>31</v>
      </c>
      <c r="D2">
        <v>1</v>
      </c>
      <c r="E2">
        <v>0</v>
      </c>
      <c r="G2" s="6">
        <v>8.4320000000000004</v>
      </c>
      <c r="H2" s="6">
        <v>0.33</v>
      </c>
      <c r="I2" s="5">
        <f>G2/H2</f>
        <v>25.551515151515151</v>
      </c>
      <c r="J2">
        <v>4.9000000000000004</v>
      </c>
      <c r="K2">
        <v>7.15</v>
      </c>
      <c r="L2">
        <v>35</v>
      </c>
      <c r="M2">
        <v>104</v>
      </c>
      <c r="N2">
        <v>437</v>
      </c>
      <c r="O2">
        <v>60</v>
      </c>
      <c r="P2">
        <v>3.5</v>
      </c>
      <c r="Q2">
        <v>13</v>
      </c>
      <c r="R2">
        <v>0.2</v>
      </c>
      <c r="S2">
        <v>1.8</v>
      </c>
      <c r="T2">
        <v>22</v>
      </c>
      <c r="W2">
        <v>0</v>
      </c>
      <c r="X2">
        <v>9.23</v>
      </c>
      <c r="Y2">
        <v>8.3000000000000007</v>
      </c>
      <c r="Z2">
        <v>6.8</v>
      </c>
      <c r="AA2">
        <v>13</v>
      </c>
      <c r="AB2">
        <v>3</v>
      </c>
      <c r="AC2">
        <v>2</v>
      </c>
      <c r="AD2">
        <v>1</v>
      </c>
      <c r="AE2">
        <v>18</v>
      </c>
    </row>
    <row r="3" spans="1:88" ht="17" x14ac:dyDescent="0.25">
      <c r="A3" s="2">
        <v>45621</v>
      </c>
      <c r="B3">
        <v>24111762</v>
      </c>
      <c r="C3" t="s">
        <v>31</v>
      </c>
      <c r="D3">
        <v>2</v>
      </c>
      <c r="E3">
        <v>5</v>
      </c>
      <c r="G3" s="6">
        <v>36.86</v>
      </c>
      <c r="H3" s="6">
        <v>1.5349999999999999</v>
      </c>
      <c r="I3" s="5">
        <f t="shared" ref="I3:I37" si="0">G3/H3</f>
        <v>24.013029315960914</v>
      </c>
      <c r="J3">
        <v>4.0999999999999996</v>
      </c>
      <c r="K3">
        <v>7</v>
      </c>
      <c r="L3">
        <v>22</v>
      </c>
      <c r="M3">
        <v>205</v>
      </c>
      <c r="N3">
        <v>376</v>
      </c>
      <c r="O3">
        <v>55</v>
      </c>
      <c r="P3">
        <v>6.6</v>
      </c>
      <c r="Q3">
        <v>23</v>
      </c>
      <c r="R3">
        <v>0.6</v>
      </c>
      <c r="S3">
        <v>1.8</v>
      </c>
      <c r="T3">
        <v>11</v>
      </c>
      <c r="W3">
        <v>0</v>
      </c>
      <c r="X3">
        <v>56.06</v>
      </c>
      <c r="Y3">
        <v>9.5</v>
      </c>
      <c r="Z3">
        <v>8</v>
      </c>
      <c r="AA3">
        <v>10</v>
      </c>
      <c r="AB3">
        <v>2</v>
      </c>
      <c r="AC3">
        <v>3</v>
      </c>
      <c r="AD3">
        <v>0</v>
      </c>
      <c r="AE3">
        <v>15</v>
      </c>
    </row>
    <row r="4" spans="1:88" ht="17" x14ac:dyDescent="0.25">
      <c r="A4" s="2">
        <v>45621</v>
      </c>
      <c r="B4">
        <v>24111763</v>
      </c>
      <c r="C4" t="s">
        <v>31</v>
      </c>
      <c r="D4">
        <v>3</v>
      </c>
      <c r="E4">
        <v>10</v>
      </c>
      <c r="G4" s="6">
        <v>26.283999999999999</v>
      </c>
      <c r="H4" s="6">
        <v>1.4970000000000001</v>
      </c>
      <c r="I4" s="5">
        <f t="shared" si="0"/>
        <v>17.557782231128922</v>
      </c>
      <c r="J4">
        <v>4.3</v>
      </c>
      <c r="K4">
        <v>6.6</v>
      </c>
      <c r="L4">
        <v>21</v>
      </c>
      <c r="M4">
        <v>130</v>
      </c>
      <c r="N4">
        <v>550</v>
      </c>
      <c r="O4">
        <v>79</v>
      </c>
      <c r="P4">
        <v>9</v>
      </c>
      <c r="Q4">
        <v>36</v>
      </c>
      <c r="R4">
        <v>0.7</v>
      </c>
      <c r="S4">
        <v>1.9</v>
      </c>
      <c r="T4">
        <v>5</v>
      </c>
      <c r="W4">
        <v>1</v>
      </c>
      <c r="X4">
        <v>48.48</v>
      </c>
      <c r="Y4">
        <v>13.1</v>
      </c>
      <c r="Z4">
        <v>11.2</v>
      </c>
      <c r="AA4">
        <v>10</v>
      </c>
      <c r="AB4">
        <v>3</v>
      </c>
      <c r="AC4">
        <v>1</v>
      </c>
      <c r="AD4">
        <v>0</v>
      </c>
      <c r="AE4">
        <v>14</v>
      </c>
    </row>
    <row r="5" spans="1:88" ht="17" x14ac:dyDescent="0.25">
      <c r="A5" s="2">
        <v>45621</v>
      </c>
      <c r="B5">
        <v>24111764</v>
      </c>
      <c r="C5" t="s">
        <v>31</v>
      </c>
      <c r="D5">
        <v>4</v>
      </c>
      <c r="E5">
        <v>15</v>
      </c>
      <c r="G5" s="6">
        <v>17.170000000000002</v>
      </c>
      <c r="H5" s="6">
        <v>0.84199999999999997</v>
      </c>
      <c r="I5" s="5">
        <f t="shared" si="0"/>
        <v>20.391923990498814</v>
      </c>
      <c r="J5">
        <v>4.0999999999999996</v>
      </c>
      <c r="K5">
        <v>6.8</v>
      </c>
      <c r="L5">
        <v>18</v>
      </c>
      <c r="M5">
        <v>116</v>
      </c>
      <c r="N5">
        <v>468</v>
      </c>
      <c r="O5">
        <v>60</v>
      </c>
      <c r="P5">
        <v>5.5</v>
      </c>
      <c r="Q5">
        <v>13</v>
      </c>
      <c r="R5">
        <v>0.6</v>
      </c>
      <c r="S5">
        <v>2</v>
      </c>
      <c r="T5">
        <v>6</v>
      </c>
      <c r="W5">
        <v>1</v>
      </c>
      <c r="X5">
        <v>22</v>
      </c>
      <c r="Y5">
        <v>11.2</v>
      </c>
      <c r="Z5">
        <v>9.6</v>
      </c>
      <c r="AA5">
        <v>10</v>
      </c>
      <c r="AB5">
        <v>2</v>
      </c>
      <c r="AC5">
        <v>1</v>
      </c>
      <c r="AD5">
        <v>0</v>
      </c>
      <c r="AE5">
        <v>14</v>
      </c>
    </row>
    <row r="6" spans="1:88" ht="17" x14ac:dyDescent="0.25">
      <c r="A6" s="2">
        <v>45621</v>
      </c>
      <c r="B6">
        <v>24111765</v>
      </c>
      <c r="C6" t="s">
        <v>31</v>
      </c>
      <c r="D6">
        <v>5</v>
      </c>
      <c r="E6">
        <v>20</v>
      </c>
      <c r="G6" s="6">
        <v>8.0969999999999995</v>
      </c>
      <c r="H6" s="6">
        <v>0.50600000000000001</v>
      </c>
      <c r="I6" s="5">
        <f t="shared" si="0"/>
        <v>16.00197628458498</v>
      </c>
      <c r="J6">
        <v>4.4000000000000004</v>
      </c>
      <c r="K6">
        <v>7</v>
      </c>
      <c r="L6">
        <v>35</v>
      </c>
      <c r="M6">
        <v>79</v>
      </c>
      <c r="N6">
        <v>141</v>
      </c>
      <c r="O6">
        <v>21</v>
      </c>
      <c r="P6">
        <v>2.8</v>
      </c>
      <c r="Q6">
        <v>6</v>
      </c>
      <c r="R6">
        <v>1</v>
      </c>
      <c r="S6">
        <v>2.2000000000000002</v>
      </c>
      <c r="T6">
        <v>7</v>
      </c>
      <c r="W6">
        <v>2</v>
      </c>
      <c r="X6">
        <v>18.34</v>
      </c>
      <c r="Y6">
        <v>8.6</v>
      </c>
      <c r="Z6">
        <v>8</v>
      </c>
      <c r="AA6">
        <v>4</v>
      </c>
      <c r="AB6">
        <v>1</v>
      </c>
      <c r="AC6">
        <v>1</v>
      </c>
      <c r="AD6">
        <v>0</v>
      </c>
      <c r="AE6">
        <v>6</v>
      </c>
    </row>
    <row r="7" spans="1:88" ht="17" x14ac:dyDescent="0.25">
      <c r="A7" s="2">
        <v>45621</v>
      </c>
      <c r="B7">
        <v>24111766</v>
      </c>
      <c r="C7" t="s">
        <v>31</v>
      </c>
      <c r="D7">
        <v>6</v>
      </c>
      <c r="E7">
        <v>25</v>
      </c>
      <c r="G7" s="6">
        <v>32.74</v>
      </c>
      <c r="H7" s="6">
        <v>1.8959999999999999</v>
      </c>
      <c r="I7" s="5">
        <f t="shared" si="0"/>
        <v>17.267932489451479</v>
      </c>
      <c r="J7">
        <v>4.3</v>
      </c>
      <c r="K7">
        <v>6.8</v>
      </c>
      <c r="L7">
        <v>22</v>
      </c>
      <c r="M7">
        <v>126</v>
      </c>
      <c r="N7">
        <v>1530</v>
      </c>
      <c r="O7">
        <v>71</v>
      </c>
      <c r="P7">
        <v>17</v>
      </c>
      <c r="Q7">
        <v>160</v>
      </c>
      <c r="R7">
        <v>0.6</v>
      </c>
      <c r="S7">
        <v>1.8</v>
      </c>
      <c r="T7">
        <v>4</v>
      </c>
      <c r="W7">
        <v>14</v>
      </c>
      <c r="X7">
        <v>50.21</v>
      </c>
      <c r="Y7">
        <v>13.9</v>
      </c>
      <c r="Z7">
        <v>9.6</v>
      </c>
      <c r="AA7">
        <v>28</v>
      </c>
      <c r="AB7">
        <v>2</v>
      </c>
      <c r="AC7">
        <v>1</v>
      </c>
      <c r="AD7">
        <v>0</v>
      </c>
      <c r="AE7">
        <v>31</v>
      </c>
    </row>
    <row r="8" spans="1:88" ht="17" x14ac:dyDescent="0.25">
      <c r="A8" s="2">
        <v>45621</v>
      </c>
      <c r="B8">
        <v>24111767</v>
      </c>
      <c r="C8" t="s">
        <v>31</v>
      </c>
      <c r="D8">
        <v>7</v>
      </c>
      <c r="E8">
        <v>30</v>
      </c>
      <c r="G8" s="6">
        <v>25.75</v>
      </c>
      <c r="H8" s="6">
        <v>1.3460000000000001</v>
      </c>
      <c r="I8" s="5">
        <f t="shared" si="0"/>
        <v>19.13075780089153</v>
      </c>
      <c r="J8">
        <v>4.2</v>
      </c>
      <c r="K8">
        <v>6.55</v>
      </c>
      <c r="L8">
        <v>19</v>
      </c>
      <c r="M8">
        <v>130</v>
      </c>
      <c r="N8">
        <v>1778</v>
      </c>
      <c r="O8">
        <v>138</v>
      </c>
      <c r="P8">
        <v>19.100000000000001</v>
      </c>
      <c r="Q8">
        <v>132</v>
      </c>
      <c r="R8">
        <v>0.6</v>
      </c>
      <c r="S8">
        <v>2</v>
      </c>
      <c r="T8">
        <v>6</v>
      </c>
      <c r="W8">
        <v>4</v>
      </c>
      <c r="X8">
        <v>42.3</v>
      </c>
      <c r="Y8">
        <v>16.8</v>
      </c>
      <c r="Z8">
        <v>11.6</v>
      </c>
      <c r="AA8">
        <v>26</v>
      </c>
      <c r="AB8">
        <v>3</v>
      </c>
      <c r="AC8">
        <v>1</v>
      </c>
      <c r="AD8">
        <v>0</v>
      </c>
      <c r="AE8">
        <v>31</v>
      </c>
    </row>
    <row r="9" spans="1:88" ht="17" x14ac:dyDescent="0.25">
      <c r="A9" s="2">
        <v>45621</v>
      </c>
      <c r="B9">
        <v>24111768</v>
      </c>
      <c r="C9" t="s">
        <v>31</v>
      </c>
      <c r="D9">
        <v>8</v>
      </c>
      <c r="E9">
        <v>35</v>
      </c>
      <c r="G9" s="6">
        <v>33.982999999999997</v>
      </c>
      <c r="H9" s="6">
        <v>1.7490000000000001</v>
      </c>
      <c r="I9" s="5">
        <f t="shared" si="0"/>
        <v>19.429959977129787</v>
      </c>
      <c r="J9">
        <v>4.2</v>
      </c>
      <c r="K9">
        <v>6.65</v>
      </c>
      <c r="L9">
        <v>20</v>
      </c>
      <c r="M9">
        <v>156</v>
      </c>
      <c r="N9">
        <v>2032</v>
      </c>
      <c r="O9">
        <v>108</v>
      </c>
      <c r="P9">
        <v>23.4</v>
      </c>
      <c r="Q9">
        <v>126</v>
      </c>
      <c r="R9">
        <v>0.5</v>
      </c>
      <c r="S9">
        <v>1.9</v>
      </c>
      <c r="T9">
        <v>7</v>
      </c>
      <c r="W9">
        <v>5</v>
      </c>
      <c r="X9">
        <v>62.12</v>
      </c>
      <c r="Y9">
        <v>16.5</v>
      </c>
      <c r="Z9">
        <v>10.8</v>
      </c>
      <c r="AA9">
        <v>31</v>
      </c>
      <c r="AB9">
        <v>3</v>
      </c>
      <c r="AC9">
        <v>1</v>
      </c>
      <c r="AD9">
        <v>0</v>
      </c>
      <c r="AE9">
        <v>35</v>
      </c>
    </row>
    <row r="10" spans="1:88" ht="17" x14ac:dyDescent="0.25">
      <c r="A10" s="2">
        <v>45621</v>
      </c>
      <c r="B10">
        <v>24111769</v>
      </c>
      <c r="C10" t="s">
        <v>31</v>
      </c>
      <c r="D10">
        <v>10</v>
      </c>
      <c r="E10">
        <v>45</v>
      </c>
      <c r="G10" s="6">
        <v>4.5380000000000003</v>
      </c>
      <c r="H10" s="6">
        <v>0.24299999999999999</v>
      </c>
      <c r="I10" s="5">
        <f t="shared" si="0"/>
        <v>18.674897119341566</v>
      </c>
      <c r="J10">
        <v>4.8</v>
      </c>
      <c r="K10">
        <v>7.4</v>
      </c>
      <c r="L10">
        <v>13</v>
      </c>
      <c r="M10">
        <v>100</v>
      </c>
      <c r="N10">
        <v>1255</v>
      </c>
      <c r="O10">
        <v>59</v>
      </c>
      <c r="P10">
        <v>6.6</v>
      </c>
      <c r="Q10">
        <v>80</v>
      </c>
      <c r="R10">
        <v>0.4</v>
      </c>
      <c r="S10">
        <v>2</v>
      </c>
      <c r="T10">
        <v>8</v>
      </c>
      <c r="W10">
        <v>9</v>
      </c>
      <c r="X10">
        <v>8.07</v>
      </c>
      <c r="Y10">
        <v>8.3000000000000007</v>
      </c>
      <c r="Z10">
        <v>4.8</v>
      </c>
      <c r="AA10">
        <v>38</v>
      </c>
      <c r="AB10">
        <v>3</v>
      </c>
      <c r="AC10">
        <v>2</v>
      </c>
      <c r="AD10">
        <v>0</v>
      </c>
      <c r="AE10">
        <v>43</v>
      </c>
    </row>
    <row r="11" spans="1:88" ht="17" x14ac:dyDescent="0.25">
      <c r="A11" s="2">
        <v>45621</v>
      </c>
      <c r="B11">
        <v>24111770</v>
      </c>
      <c r="C11" t="s">
        <v>31</v>
      </c>
      <c r="D11">
        <v>11</v>
      </c>
      <c r="E11">
        <v>50</v>
      </c>
      <c r="F11" t="s">
        <v>34</v>
      </c>
      <c r="G11" s="6">
        <v>3.7069999999999999</v>
      </c>
      <c r="H11" s="6">
        <v>0.19700000000000001</v>
      </c>
      <c r="I11" s="5">
        <f t="shared" si="0"/>
        <v>18.81725888324873</v>
      </c>
      <c r="J11">
        <v>4.5999999999999996</v>
      </c>
      <c r="K11">
        <v>7.05</v>
      </c>
      <c r="L11">
        <v>19</v>
      </c>
      <c r="M11">
        <v>79</v>
      </c>
      <c r="N11">
        <v>332</v>
      </c>
      <c r="O11">
        <v>34</v>
      </c>
      <c r="P11">
        <v>4</v>
      </c>
      <c r="Q11">
        <v>46</v>
      </c>
      <c r="R11">
        <v>0.3</v>
      </c>
      <c r="S11">
        <v>2.1</v>
      </c>
      <c r="T11">
        <v>7</v>
      </c>
      <c r="W11">
        <v>10</v>
      </c>
      <c r="X11">
        <v>6.05</v>
      </c>
      <c r="Y11">
        <v>8.6999999999999993</v>
      </c>
      <c r="Z11">
        <v>7.6</v>
      </c>
      <c r="AA11">
        <v>10</v>
      </c>
      <c r="AB11">
        <v>2</v>
      </c>
      <c r="AC11">
        <v>1</v>
      </c>
      <c r="AD11">
        <v>0</v>
      </c>
      <c r="AE11">
        <v>13</v>
      </c>
    </row>
    <row r="12" spans="1:88" ht="17" x14ac:dyDescent="0.25">
      <c r="A12" s="2">
        <v>45621</v>
      </c>
      <c r="B12">
        <v>24111771</v>
      </c>
      <c r="C12" t="s">
        <v>31</v>
      </c>
      <c r="D12">
        <v>12</v>
      </c>
      <c r="E12">
        <v>50</v>
      </c>
      <c r="F12" t="s">
        <v>35</v>
      </c>
      <c r="G12" s="6">
        <v>2.5030000000000001</v>
      </c>
      <c r="H12" s="6">
        <v>0.111</v>
      </c>
      <c r="I12" s="5">
        <f t="shared" si="0"/>
        <v>22.54954954954955</v>
      </c>
      <c r="J12">
        <v>4.7</v>
      </c>
      <c r="K12">
        <v>7.2</v>
      </c>
      <c r="L12">
        <v>27</v>
      </c>
      <c r="M12">
        <v>48</v>
      </c>
      <c r="N12">
        <v>220</v>
      </c>
      <c r="O12">
        <v>15</v>
      </c>
      <c r="P12">
        <v>2.2999999999999998</v>
      </c>
      <c r="Q12">
        <v>29</v>
      </c>
      <c r="R12">
        <v>0.3</v>
      </c>
      <c r="S12">
        <v>1.6</v>
      </c>
      <c r="T12">
        <v>5</v>
      </c>
      <c r="W12">
        <v>5</v>
      </c>
      <c r="X12">
        <v>4.71</v>
      </c>
      <c r="Y12">
        <v>7.1</v>
      </c>
      <c r="Z12">
        <v>6.4</v>
      </c>
      <c r="AA12">
        <v>8</v>
      </c>
      <c r="AB12">
        <v>1</v>
      </c>
      <c r="AC12">
        <v>1</v>
      </c>
      <c r="AD12">
        <v>0</v>
      </c>
      <c r="AE12">
        <v>10</v>
      </c>
    </row>
    <row r="13" spans="1:88" ht="17" x14ac:dyDescent="0.25">
      <c r="A13" s="2">
        <v>45621</v>
      </c>
      <c r="B13">
        <v>24111772</v>
      </c>
      <c r="C13" t="s">
        <v>31</v>
      </c>
      <c r="D13">
        <v>13</v>
      </c>
      <c r="E13">
        <v>54</v>
      </c>
      <c r="F13" t="s">
        <v>34</v>
      </c>
      <c r="G13" s="6">
        <v>3.4359999999999999</v>
      </c>
      <c r="H13" s="6">
        <v>0.14799999999999999</v>
      </c>
      <c r="I13" s="5">
        <f t="shared" si="0"/>
        <v>23.216216216216218</v>
      </c>
      <c r="J13">
        <v>4.7</v>
      </c>
      <c r="K13">
        <v>7.2</v>
      </c>
      <c r="L13">
        <v>26</v>
      </c>
      <c r="M13">
        <v>51</v>
      </c>
      <c r="N13">
        <v>170</v>
      </c>
      <c r="O13">
        <v>16</v>
      </c>
      <c r="P13">
        <v>2.7</v>
      </c>
      <c r="Q13">
        <v>26</v>
      </c>
      <c r="R13">
        <v>0.4</v>
      </c>
      <c r="S13">
        <v>2</v>
      </c>
      <c r="T13">
        <v>7</v>
      </c>
      <c r="W13">
        <v>6</v>
      </c>
      <c r="X13">
        <v>4.75</v>
      </c>
      <c r="Y13">
        <v>7</v>
      </c>
      <c r="Z13">
        <v>6.4</v>
      </c>
      <c r="AA13">
        <v>6</v>
      </c>
      <c r="AB13">
        <v>1</v>
      </c>
      <c r="AC13">
        <v>1</v>
      </c>
      <c r="AD13">
        <v>0</v>
      </c>
      <c r="AE13">
        <v>8</v>
      </c>
    </row>
    <row r="14" spans="1:88" ht="17" x14ac:dyDescent="0.25">
      <c r="A14" s="2">
        <v>45621</v>
      </c>
      <c r="B14">
        <v>24111773</v>
      </c>
      <c r="C14" t="s">
        <v>31</v>
      </c>
      <c r="D14">
        <v>14</v>
      </c>
      <c r="E14">
        <v>54</v>
      </c>
      <c r="F14" t="s">
        <v>35</v>
      </c>
      <c r="G14" s="6">
        <v>2.5059999999999998</v>
      </c>
      <c r="H14" s="6">
        <v>8.5000000000000006E-2</v>
      </c>
      <c r="I14" s="5">
        <f t="shared" si="0"/>
        <v>29.482352941176465</v>
      </c>
      <c r="J14">
        <v>4.9000000000000004</v>
      </c>
      <c r="K14">
        <v>7.35</v>
      </c>
      <c r="L14">
        <v>39</v>
      </c>
      <c r="M14">
        <v>44</v>
      </c>
      <c r="N14">
        <v>169</v>
      </c>
      <c r="O14">
        <v>13</v>
      </c>
      <c r="P14">
        <v>1.7</v>
      </c>
      <c r="Q14">
        <v>16</v>
      </c>
      <c r="R14">
        <v>0.3</v>
      </c>
      <c r="S14">
        <v>1.7</v>
      </c>
      <c r="T14">
        <v>7</v>
      </c>
      <c r="W14">
        <v>3</v>
      </c>
      <c r="X14">
        <v>3.49</v>
      </c>
      <c r="Y14">
        <v>5.7</v>
      </c>
      <c r="Z14">
        <v>5.2</v>
      </c>
      <c r="AA14">
        <v>7</v>
      </c>
      <c r="AB14">
        <v>1</v>
      </c>
      <c r="AC14">
        <v>1</v>
      </c>
      <c r="AD14">
        <v>0</v>
      </c>
      <c r="AE14">
        <v>10</v>
      </c>
    </row>
    <row r="15" spans="1:88" ht="17" x14ac:dyDescent="0.25">
      <c r="A15" s="2">
        <v>45621</v>
      </c>
      <c r="B15">
        <v>24111774</v>
      </c>
      <c r="C15" t="s">
        <v>31</v>
      </c>
      <c r="D15">
        <v>15</v>
      </c>
      <c r="E15">
        <v>54</v>
      </c>
      <c r="F15" t="s">
        <v>36</v>
      </c>
      <c r="G15" s="6">
        <v>2.6280000000000001</v>
      </c>
      <c r="H15" s="6">
        <v>0.10299999999999999</v>
      </c>
      <c r="I15" s="5">
        <f t="shared" si="0"/>
        <v>25.514563106796118</v>
      </c>
      <c r="J15">
        <v>4.8</v>
      </c>
      <c r="K15">
        <v>7.15</v>
      </c>
      <c r="L15">
        <v>28</v>
      </c>
      <c r="M15">
        <v>46</v>
      </c>
      <c r="N15">
        <v>204</v>
      </c>
      <c r="O15">
        <v>20</v>
      </c>
      <c r="P15">
        <v>2.2000000000000002</v>
      </c>
      <c r="Q15">
        <v>22</v>
      </c>
      <c r="R15">
        <v>0.3</v>
      </c>
      <c r="S15">
        <v>1.8</v>
      </c>
      <c r="T15">
        <v>7</v>
      </c>
      <c r="W15">
        <v>7</v>
      </c>
      <c r="X15">
        <v>4.71</v>
      </c>
      <c r="Y15">
        <v>7.5</v>
      </c>
      <c r="Z15">
        <v>6.8</v>
      </c>
      <c r="AA15">
        <v>7</v>
      </c>
      <c r="AB15">
        <v>1</v>
      </c>
      <c r="AC15">
        <v>1</v>
      </c>
      <c r="AD15">
        <v>0</v>
      </c>
      <c r="AE15">
        <v>9</v>
      </c>
    </row>
    <row r="16" spans="1:88" ht="17" x14ac:dyDescent="0.25">
      <c r="A16" s="2">
        <v>45621</v>
      </c>
      <c r="B16">
        <v>24111775</v>
      </c>
      <c r="C16" t="s">
        <v>31</v>
      </c>
      <c r="D16">
        <v>16</v>
      </c>
      <c r="E16">
        <v>60</v>
      </c>
      <c r="G16" s="6">
        <v>2.8929999999999998</v>
      </c>
      <c r="H16" s="6">
        <v>0.13500000000000001</v>
      </c>
      <c r="I16" s="5">
        <f t="shared" si="0"/>
        <v>21.429629629629627</v>
      </c>
      <c r="J16">
        <v>4.5999999999999996</v>
      </c>
      <c r="K16">
        <v>7.2</v>
      </c>
      <c r="L16">
        <v>23</v>
      </c>
      <c r="M16">
        <v>164</v>
      </c>
      <c r="N16">
        <v>320</v>
      </c>
      <c r="O16">
        <v>45</v>
      </c>
      <c r="P16">
        <v>4.0999999999999996</v>
      </c>
      <c r="Q16">
        <v>76</v>
      </c>
      <c r="R16">
        <v>0.3</v>
      </c>
      <c r="S16">
        <v>2.1</v>
      </c>
      <c r="T16">
        <v>9</v>
      </c>
      <c r="W16">
        <v>23</v>
      </c>
      <c r="X16">
        <v>5.82</v>
      </c>
      <c r="Y16">
        <v>7.6</v>
      </c>
      <c r="Z16">
        <v>6.4</v>
      </c>
      <c r="AA16">
        <v>11</v>
      </c>
      <c r="AB16">
        <v>2</v>
      </c>
      <c r="AC16">
        <v>3</v>
      </c>
      <c r="AD16">
        <v>0</v>
      </c>
      <c r="AE16">
        <v>16</v>
      </c>
    </row>
    <row r="17" spans="1:31" ht="17" x14ac:dyDescent="0.25">
      <c r="A17" s="2">
        <v>45621</v>
      </c>
      <c r="B17">
        <v>24111776</v>
      </c>
      <c r="C17" t="s">
        <v>31</v>
      </c>
      <c r="D17">
        <v>17</v>
      </c>
      <c r="E17">
        <v>65</v>
      </c>
      <c r="F17" t="s">
        <v>34</v>
      </c>
      <c r="G17" s="6">
        <v>3.907</v>
      </c>
      <c r="H17" s="6">
        <v>0.17100000000000001</v>
      </c>
      <c r="I17" s="5">
        <f t="shared" si="0"/>
        <v>22.847953216374268</v>
      </c>
      <c r="J17">
        <v>5</v>
      </c>
      <c r="K17">
        <v>7.15</v>
      </c>
      <c r="L17">
        <v>37</v>
      </c>
      <c r="M17">
        <v>75</v>
      </c>
      <c r="N17">
        <v>172</v>
      </c>
      <c r="O17">
        <v>29</v>
      </c>
      <c r="P17">
        <v>1.5</v>
      </c>
      <c r="Q17">
        <v>40</v>
      </c>
      <c r="R17">
        <v>0.4</v>
      </c>
      <c r="S17">
        <v>2.2000000000000002</v>
      </c>
      <c r="T17">
        <v>12</v>
      </c>
      <c r="W17">
        <v>6</v>
      </c>
      <c r="X17">
        <v>7.77</v>
      </c>
      <c r="Y17">
        <v>7.5</v>
      </c>
      <c r="Z17">
        <v>6.8</v>
      </c>
      <c r="AA17">
        <v>6</v>
      </c>
      <c r="AB17">
        <v>2</v>
      </c>
      <c r="AC17">
        <v>1</v>
      </c>
      <c r="AD17">
        <v>0</v>
      </c>
      <c r="AE17">
        <v>9</v>
      </c>
    </row>
    <row r="18" spans="1:31" ht="17" x14ac:dyDescent="0.25">
      <c r="A18" s="2">
        <v>45621</v>
      </c>
      <c r="B18">
        <v>24111777</v>
      </c>
      <c r="C18" t="s">
        <v>31</v>
      </c>
      <c r="D18">
        <v>18</v>
      </c>
      <c r="E18">
        <v>65</v>
      </c>
      <c r="F18" t="s">
        <v>37</v>
      </c>
      <c r="G18" s="6">
        <v>4.2640000000000002</v>
      </c>
      <c r="H18" s="6">
        <v>0.14899999999999999</v>
      </c>
      <c r="I18" s="5">
        <f t="shared" si="0"/>
        <v>28.617449664429532</v>
      </c>
      <c r="J18">
        <v>5.0999999999999996</v>
      </c>
      <c r="K18">
        <v>7.15</v>
      </c>
      <c r="L18">
        <v>17</v>
      </c>
      <c r="M18">
        <v>45</v>
      </c>
      <c r="N18">
        <v>151</v>
      </c>
      <c r="O18">
        <v>13</v>
      </c>
      <c r="P18">
        <v>1.2</v>
      </c>
      <c r="Q18">
        <v>36</v>
      </c>
      <c r="R18">
        <v>0.2</v>
      </c>
      <c r="S18">
        <v>1.7</v>
      </c>
      <c r="T18">
        <v>7</v>
      </c>
      <c r="W18">
        <v>4</v>
      </c>
      <c r="X18">
        <v>6.58</v>
      </c>
      <c r="Y18">
        <v>7.3</v>
      </c>
      <c r="Z18">
        <v>6.8</v>
      </c>
      <c r="AA18">
        <v>5</v>
      </c>
      <c r="AB18">
        <v>1</v>
      </c>
      <c r="AC18">
        <v>1</v>
      </c>
      <c r="AD18">
        <v>0</v>
      </c>
      <c r="AE18">
        <v>7</v>
      </c>
    </row>
    <row r="19" spans="1:31" ht="17" x14ac:dyDescent="0.25">
      <c r="A19" s="2">
        <v>45621</v>
      </c>
      <c r="B19">
        <v>24111778</v>
      </c>
      <c r="C19" t="s">
        <v>31</v>
      </c>
      <c r="D19">
        <v>19</v>
      </c>
      <c r="E19">
        <v>70</v>
      </c>
      <c r="F19" t="s">
        <v>34</v>
      </c>
      <c r="G19" s="6">
        <v>4.9059999999999997</v>
      </c>
      <c r="H19" s="6">
        <v>0.185</v>
      </c>
      <c r="I19" s="5">
        <f t="shared" si="0"/>
        <v>26.518918918918917</v>
      </c>
      <c r="J19">
        <v>5</v>
      </c>
      <c r="K19">
        <v>7.15</v>
      </c>
      <c r="L19">
        <v>14</v>
      </c>
      <c r="M19">
        <v>52</v>
      </c>
      <c r="N19">
        <v>237</v>
      </c>
      <c r="O19">
        <v>22</v>
      </c>
      <c r="P19">
        <v>2.2999999999999998</v>
      </c>
      <c r="Q19">
        <v>31</v>
      </c>
      <c r="R19">
        <v>0.3</v>
      </c>
      <c r="S19">
        <v>2</v>
      </c>
      <c r="T19">
        <v>9</v>
      </c>
      <c r="W19">
        <v>2</v>
      </c>
      <c r="X19">
        <v>5.19</v>
      </c>
      <c r="Y19">
        <v>7.6</v>
      </c>
      <c r="Z19">
        <v>6.8</v>
      </c>
      <c r="AA19">
        <v>8</v>
      </c>
      <c r="AB19">
        <v>1</v>
      </c>
      <c r="AC19">
        <v>1</v>
      </c>
      <c r="AD19">
        <v>0</v>
      </c>
      <c r="AE19">
        <v>10</v>
      </c>
    </row>
    <row r="20" spans="1:31" ht="17" x14ac:dyDescent="0.25">
      <c r="A20" s="2">
        <v>45621</v>
      </c>
      <c r="B20">
        <v>24111779</v>
      </c>
      <c r="C20" t="s">
        <v>31</v>
      </c>
      <c r="D20">
        <v>20</v>
      </c>
      <c r="E20">
        <v>70</v>
      </c>
      <c r="F20" t="s">
        <v>35</v>
      </c>
      <c r="G20" s="6">
        <v>2.5009999999999999</v>
      </c>
      <c r="H20" s="6">
        <v>8.5999999999999993E-2</v>
      </c>
      <c r="I20" s="5">
        <f t="shared" si="0"/>
        <v>29.081395348837212</v>
      </c>
      <c r="J20">
        <v>5</v>
      </c>
      <c r="K20">
        <v>7.3</v>
      </c>
      <c r="L20">
        <v>9</v>
      </c>
      <c r="M20">
        <v>32</v>
      </c>
      <c r="N20">
        <v>65</v>
      </c>
      <c r="O20">
        <v>7</v>
      </c>
      <c r="P20">
        <v>0.6</v>
      </c>
      <c r="Q20">
        <v>11</v>
      </c>
      <c r="R20">
        <v>0.2</v>
      </c>
      <c r="S20">
        <v>1.7</v>
      </c>
      <c r="T20">
        <v>7</v>
      </c>
      <c r="W20">
        <v>1</v>
      </c>
      <c r="X20">
        <v>3.59</v>
      </c>
      <c r="Y20">
        <v>5.8</v>
      </c>
      <c r="Z20">
        <v>5.6</v>
      </c>
      <c r="AA20">
        <v>3</v>
      </c>
      <c r="AB20">
        <v>1</v>
      </c>
      <c r="AC20">
        <v>1</v>
      </c>
      <c r="AD20">
        <v>0</v>
      </c>
      <c r="AE20">
        <v>4</v>
      </c>
    </row>
    <row r="21" spans="1:31" ht="17" x14ac:dyDescent="0.25">
      <c r="A21" s="2">
        <v>45621</v>
      </c>
      <c r="B21">
        <v>24111780</v>
      </c>
      <c r="C21" t="s">
        <v>31</v>
      </c>
      <c r="D21">
        <v>21</v>
      </c>
      <c r="E21">
        <v>70</v>
      </c>
      <c r="F21" t="s">
        <v>36</v>
      </c>
      <c r="G21" s="6">
        <v>1.9890000000000001</v>
      </c>
      <c r="H21" s="6">
        <v>5.8999999999999997E-2</v>
      </c>
      <c r="I21" s="5">
        <f t="shared" si="0"/>
        <v>33.711864406779668</v>
      </c>
      <c r="J21">
        <v>5.0999999999999996</v>
      </c>
      <c r="K21">
        <v>7.35</v>
      </c>
      <c r="L21">
        <v>8</v>
      </c>
      <c r="M21">
        <v>29</v>
      </c>
      <c r="N21">
        <v>60</v>
      </c>
      <c r="O21">
        <v>5</v>
      </c>
      <c r="P21">
        <v>0.7</v>
      </c>
      <c r="Q21">
        <v>11</v>
      </c>
      <c r="R21">
        <v>0.2</v>
      </c>
      <c r="S21">
        <v>1.6</v>
      </c>
      <c r="T21">
        <v>5</v>
      </c>
      <c r="W21">
        <v>1</v>
      </c>
      <c r="X21">
        <v>3.03</v>
      </c>
      <c r="Y21">
        <v>5.4</v>
      </c>
      <c r="Z21">
        <v>5.2</v>
      </c>
      <c r="AA21">
        <v>3</v>
      </c>
      <c r="AB21">
        <v>0</v>
      </c>
      <c r="AC21">
        <v>1</v>
      </c>
      <c r="AD21">
        <v>0</v>
      </c>
      <c r="AE21">
        <v>4</v>
      </c>
    </row>
    <row r="22" spans="1:31" ht="17" x14ac:dyDescent="0.25">
      <c r="A22" s="2">
        <v>45621</v>
      </c>
      <c r="B22">
        <v>24111781</v>
      </c>
      <c r="C22" t="s">
        <v>31</v>
      </c>
      <c r="D22">
        <v>22</v>
      </c>
      <c r="E22">
        <v>75</v>
      </c>
      <c r="F22" t="s">
        <v>34</v>
      </c>
      <c r="G22" s="6">
        <v>3.67</v>
      </c>
      <c r="H22" s="6">
        <v>0.111</v>
      </c>
      <c r="I22" s="5">
        <f t="shared" si="0"/>
        <v>33.063063063063062</v>
      </c>
      <c r="J22">
        <v>5.0999999999999996</v>
      </c>
      <c r="K22">
        <v>7.3</v>
      </c>
      <c r="L22">
        <v>10</v>
      </c>
      <c r="M22">
        <v>49</v>
      </c>
      <c r="N22">
        <v>146</v>
      </c>
      <c r="O22">
        <v>14</v>
      </c>
      <c r="P22">
        <v>0.9</v>
      </c>
      <c r="Q22">
        <v>28</v>
      </c>
      <c r="R22">
        <v>0.3</v>
      </c>
      <c r="S22">
        <v>1.5</v>
      </c>
      <c r="T22">
        <v>6</v>
      </c>
      <c r="W22">
        <v>1</v>
      </c>
      <c r="X22">
        <v>3.29</v>
      </c>
      <c r="Y22">
        <v>6.1</v>
      </c>
      <c r="Z22">
        <v>5.6</v>
      </c>
      <c r="AA22">
        <v>6</v>
      </c>
      <c r="AB22">
        <v>1</v>
      </c>
      <c r="AC22">
        <v>1</v>
      </c>
      <c r="AD22">
        <v>0</v>
      </c>
      <c r="AE22">
        <v>8</v>
      </c>
    </row>
    <row r="23" spans="1:31" ht="17" x14ac:dyDescent="0.25">
      <c r="A23" s="2">
        <v>45621</v>
      </c>
      <c r="B23">
        <v>24111782</v>
      </c>
      <c r="C23" t="s">
        <v>31</v>
      </c>
      <c r="D23">
        <v>23</v>
      </c>
      <c r="E23">
        <v>75</v>
      </c>
      <c r="F23" t="s">
        <v>35</v>
      </c>
      <c r="G23" s="6">
        <v>1.7729999999999999</v>
      </c>
      <c r="H23" s="6">
        <v>6.0999999999999999E-2</v>
      </c>
      <c r="I23" s="5">
        <f t="shared" si="0"/>
        <v>29.065573770491802</v>
      </c>
      <c r="J23">
        <v>5.0999999999999996</v>
      </c>
      <c r="K23">
        <v>7.35</v>
      </c>
      <c r="L23">
        <v>8</v>
      </c>
      <c r="M23">
        <v>28</v>
      </c>
      <c r="N23">
        <v>46</v>
      </c>
      <c r="O23">
        <v>3</v>
      </c>
      <c r="P23">
        <v>0.4</v>
      </c>
      <c r="Q23">
        <v>16</v>
      </c>
      <c r="R23">
        <v>0.3</v>
      </c>
      <c r="S23">
        <v>1.5</v>
      </c>
      <c r="T23">
        <v>5</v>
      </c>
      <c r="W23">
        <v>0</v>
      </c>
      <c r="X23">
        <v>2.66</v>
      </c>
      <c r="Y23">
        <v>5.4</v>
      </c>
      <c r="Z23">
        <v>5.2</v>
      </c>
      <c r="AA23">
        <v>2</v>
      </c>
      <c r="AB23">
        <v>0</v>
      </c>
      <c r="AC23">
        <v>1</v>
      </c>
      <c r="AD23">
        <v>0</v>
      </c>
      <c r="AE23">
        <v>3</v>
      </c>
    </row>
    <row r="24" spans="1:31" ht="17" x14ac:dyDescent="0.25">
      <c r="A24" s="2">
        <v>45621</v>
      </c>
      <c r="B24">
        <v>24111783</v>
      </c>
      <c r="C24" t="s">
        <v>31</v>
      </c>
      <c r="D24">
        <v>24</v>
      </c>
      <c r="E24">
        <v>75</v>
      </c>
      <c r="F24" t="s">
        <v>36</v>
      </c>
      <c r="G24" s="6">
        <v>2.4940000000000002</v>
      </c>
      <c r="H24" s="6">
        <v>5.5E-2</v>
      </c>
      <c r="I24" s="5">
        <f t="shared" si="0"/>
        <v>45.345454545454551</v>
      </c>
      <c r="J24">
        <v>5.0999999999999996</v>
      </c>
      <c r="K24">
        <v>7.45</v>
      </c>
      <c r="L24">
        <v>8</v>
      </c>
      <c r="M24">
        <v>28</v>
      </c>
      <c r="N24">
        <v>51</v>
      </c>
      <c r="O24">
        <v>5</v>
      </c>
      <c r="P24">
        <v>0.4</v>
      </c>
      <c r="Q24">
        <v>13</v>
      </c>
      <c r="R24">
        <v>0.3</v>
      </c>
      <c r="S24">
        <v>1.6</v>
      </c>
      <c r="T24">
        <v>5</v>
      </c>
      <c r="W24">
        <v>1</v>
      </c>
      <c r="X24">
        <v>2.61</v>
      </c>
      <c r="Y24">
        <v>4.5999999999999996</v>
      </c>
      <c r="Z24">
        <v>4.4000000000000004</v>
      </c>
      <c r="AA24">
        <v>3</v>
      </c>
      <c r="AB24">
        <v>0</v>
      </c>
      <c r="AC24">
        <v>1</v>
      </c>
      <c r="AD24">
        <v>0</v>
      </c>
      <c r="AE24">
        <v>4</v>
      </c>
    </row>
    <row r="25" spans="1:31" ht="17" x14ac:dyDescent="0.25">
      <c r="A25" s="2">
        <v>45621</v>
      </c>
      <c r="B25">
        <v>24111784</v>
      </c>
      <c r="C25" t="s">
        <v>31</v>
      </c>
      <c r="D25">
        <v>25</v>
      </c>
      <c r="E25">
        <v>80</v>
      </c>
      <c r="F25" t="s">
        <v>34</v>
      </c>
      <c r="G25" s="6">
        <v>5.7370000000000001</v>
      </c>
      <c r="H25" s="6">
        <v>0.154</v>
      </c>
      <c r="I25" s="5">
        <f t="shared" si="0"/>
        <v>37.253246753246756</v>
      </c>
      <c r="J25">
        <v>5.2</v>
      </c>
      <c r="K25">
        <v>7.15</v>
      </c>
      <c r="L25">
        <v>16</v>
      </c>
      <c r="M25">
        <v>72</v>
      </c>
      <c r="N25">
        <v>202</v>
      </c>
      <c r="O25">
        <v>26</v>
      </c>
      <c r="P25">
        <v>1.3</v>
      </c>
      <c r="Q25">
        <v>68</v>
      </c>
      <c r="R25">
        <v>0.3</v>
      </c>
      <c r="S25">
        <v>1.9</v>
      </c>
      <c r="T25">
        <v>9</v>
      </c>
      <c r="W25">
        <v>1</v>
      </c>
      <c r="X25">
        <v>7.44</v>
      </c>
      <c r="Y25">
        <v>7.5</v>
      </c>
      <c r="Z25">
        <v>6.8</v>
      </c>
      <c r="AA25">
        <v>7</v>
      </c>
      <c r="AB25">
        <v>1</v>
      </c>
      <c r="AC25">
        <v>1</v>
      </c>
      <c r="AD25">
        <v>0</v>
      </c>
      <c r="AE25">
        <v>10</v>
      </c>
    </row>
    <row r="26" spans="1:31" ht="17" x14ac:dyDescent="0.25">
      <c r="A26" s="2">
        <v>45621</v>
      </c>
      <c r="B26">
        <v>24111785</v>
      </c>
      <c r="C26" t="s">
        <v>31</v>
      </c>
      <c r="D26">
        <v>26</v>
      </c>
      <c r="E26">
        <v>80</v>
      </c>
      <c r="F26" t="s">
        <v>37</v>
      </c>
      <c r="G26" s="6">
        <v>2.8410000000000002</v>
      </c>
      <c r="H26" s="6">
        <v>0.115</v>
      </c>
      <c r="I26" s="5">
        <f t="shared" si="0"/>
        <v>24.704347826086956</v>
      </c>
      <c r="J26">
        <v>5.0999999999999996</v>
      </c>
      <c r="K26">
        <v>7.25</v>
      </c>
      <c r="L26">
        <v>15</v>
      </c>
      <c r="M26">
        <v>38</v>
      </c>
      <c r="N26">
        <v>72</v>
      </c>
      <c r="O26">
        <v>8</v>
      </c>
      <c r="P26">
        <v>0.6</v>
      </c>
      <c r="Q26">
        <v>23</v>
      </c>
      <c r="R26">
        <v>0.3</v>
      </c>
      <c r="S26">
        <v>1.7</v>
      </c>
      <c r="T26">
        <v>7</v>
      </c>
      <c r="W26">
        <v>1</v>
      </c>
      <c r="X26">
        <v>4.1100000000000003</v>
      </c>
      <c r="Y26">
        <v>6.3</v>
      </c>
      <c r="Z26">
        <v>6</v>
      </c>
      <c r="AA26">
        <v>3</v>
      </c>
      <c r="AB26">
        <v>1</v>
      </c>
      <c r="AC26">
        <v>1</v>
      </c>
      <c r="AD26">
        <v>0</v>
      </c>
      <c r="AE26">
        <v>4</v>
      </c>
    </row>
    <row r="27" spans="1:31" ht="17" x14ac:dyDescent="0.25">
      <c r="A27" s="2">
        <v>45621</v>
      </c>
      <c r="B27">
        <v>24111786</v>
      </c>
      <c r="C27" t="s">
        <v>31</v>
      </c>
      <c r="D27">
        <v>27</v>
      </c>
      <c r="E27">
        <v>84</v>
      </c>
      <c r="F27" t="s">
        <v>34</v>
      </c>
      <c r="G27" s="6">
        <v>8.8109999999999999</v>
      </c>
      <c r="H27" s="6">
        <v>0.39600000000000002</v>
      </c>
      <c r="I27" s="5">
        <f t="shared" si="0"/>
        <v>22.25</v>
      </c>
      <c r="J27">
        <v>4.9000000000000004</v>
      </c>
      <c r="K27">
        <v>6.75</v>
      </c>
      <c r="L27">
        <v>28</v>
      </c>
      <c r="M27">
        <v>147</v>
      </c>
      <c r="N27">
        <v>632</v>
      </c>
      <c r="O27">
        <v>56</v>
      </c>
      <c r="P27">
        <v>5</v>
      </c>
      <c r="Q27">
        <v>104</v>
      </c>
      <c r="R27">
        <v>0.3</v>
      </c>
      <c r="S27">
        <v>2.5</v>
      </c>
      <c r="T27">
        <v>12</v>
      </c>
      <c r="W27">
        <v>12</v>
      </c>
      <c r="X27">
        <v>15.7</v>
      </c>
      <c r="Y27">
        <v>12</v>
      </c>
      <c r="Z27">
        <v>10</v>
      </c>
      <c r="AA27">
        <v>13</v>
      </c>
      <c r="AB27">
        <v>2</v>
      </c>
      <c r="AC27">
        <v>2</v>
      </c>
      <c r="AD27">
        <v>0</v>
      </c>
      <c r="AE27">
        <v>17</v>
      </c>
    </row>
    <row r="28" spans="1:31" ht="17" x14ac:dyDescent="0.25">
      <c r="A28" s="2">
        <v>45621</v>
      </c>
      <c r="B28">
        <v>24111787</v>
      </c>
      <c r="C28" t="s">
        <v>31</v>
      </c>
      <c r="D28">
        <v>28</v>
      </c>
      <c r="E28">
        <v>84</v>
      </c>
      <c r="F28" t="s">
        <v>37</v>
      </c>
      <c r="G28" s="6">
        <v>8.1020000000000003</v>
      </c>
      <c r="H28" s="6">
        <v>0.32800000000000001</v>
      </c>
      <c r="I28" s="5">
        <f t="shared" si="0"/>
        <v>24.70121951219512</v>
      </c>
      <c r="J28">
        <v>4.9000000000000004</v>
      </c>
      <c r="K28">
        <v>6.8</v>
      </c>
      <c r="L28">
        <v>25</v>
      </c>
      <c r="M28">
        <v>117</v>
      </c>
      <c r="N28">
        <v>510</v>
      </c>
      <c r="O28">
        <v>40</v>
      </c>
      <c r="P28">
        <v>4.0999999999999996</v>
      </c>
      <c r="Q28">
        <v>84</v>
      </c>
      <c r="R28">
        <v>0.3</v>
      </c>
      <c r="S28">
        <v>1.9</v>
      </c>
      <c r="T28">
        <v>9</v>
      </c>
      <c r="W28">
        <v>11</v>
      </c>
      <c r="X28">
        <v>12.21</v>
      </c>
      <c r="Y28">
        <v>11.2</v>
      </c>
      <c r="Z28">
        <v>9.6</v>
      </c>
      <c r="AA28">
        <v>11</v>
      </c>
      <c r="AB28">
        <v>1</v>
      </c>
      <c r="AC28">
        <v>1</v>
      </c>
      <c r="AD28">
        <v>0</v>
      </c>
      <c r="AE28">
        <v>14</v>
      </c>
    </row>
    <row r="29" spans="1:31" ht="17" x14ac:dyDescent="0.25">
      <c r="A29" s="2">
        <v>45621</v>
      </c>
      <c r="B29">
        <v>24111788</v>
      </c>
      <c r="C29" t="s">
        <v>31</v>
      </c>
      <c r="D29">
        <v>29</v>
      </c>
      <c r="E29">
        <v>90</v>
      </c>
      <c r="G29" s="6">
        <v>4.8949999999999996</v>
      </c>
      <c r="H29" s="6">
        <v>0.20399999999999999</v>
      </c>
      <c r="I29" s="5">
        <f t="shared" si="0"/>
        <v>23.995098039215687</v>
      </c>
      <c r="J29">
        <v>4.7</v>
      </c>
      <c r="K29">
        <v>6.8</v>
      </c>
      <c r="L29">
        <v>27</v>
      </c>
      <c r="M29">
        <v>88</v>
      </c>
      <c r="N29">
        <v>351</v>
      </c>
      <c r="O29">
        <v>33</v>
      </c>
      <c r="P29">
        <v>2.2000000000000002</v>
      </c>
      <c r="Q29">
        <v>21</v>
      </c>
      <c r="R29">
        <v>0.3</v>
      </c>
      <c r="S29">
        <v>2.4</v>
      </c>
      <c r="T29">
        <v>11</v>
      </c>
      <c r="W29">
        <v>8</v>
      </c>
      <c r="X29">
        <v>9.64</v>
      </c>
      <c r="Y29">
        <v>10.8</v>
      </c>
      <c r="Z29">
        <v>9.6</v>
      </c>
      <c r="AA29">
        <v>8</v>
      </c>
      <c r="AB29">
        <v>1</v>
      </c>
      <c r="AC29">
        <v>1</v>
      </c>
      <c r="AD29">
        <v>0</v>
      </c>
      <c r="AE29">
        <v>11</v>
      </c>
    </row>
    <row r="30" spans="1:31" ht="17" x14ac:dyDescent="0.25">
      <c r="A30" s="2">
        <v>45621</v>
      </c>
      <c r="B30">
        <v>24111789</v>
      </c>
      <c r="C30" t="s">
        <v>31</v>
      </c>
      <c r="D30">
        <v>30</v>
      </c>
      <c r="E30">
        <v>95</v>
      </c>
      <c r="G30" s="6">
        <v>35.03</v>
      </c>
      <c r="H30" s="6">
        <v>1.754</v>
      </c>
      <c r="I30" s="5">
        <f t="shared" si="0"/>
        <v>19.971493728620295</v>
      </c>
      <c r="J30">
        <v>4.7</v>
      </c>
      <c r="K30">
        <v>6.8</v>
      </c>
      <c r="L30">
        <v>24</v>
      </c>
      <c r="M30">
        <v>268</v>
      </c>
      <c r="N30">
        <v>2312</v>
      </c>
      <c r="O30">
        <v>170</v>
      </c>
      <c r="P30">
        <v>19.2</v>
      </c>
      <c r="Q30">
        <v>145</v>
      </c>
      <c r="R30">
        <v>0.7</v>
      </c>
      <c r="S30">
        <v>2.2000000000000002</v>
      </c>
      <c r="T30">
        <v>9</v>
      </c>
      <c r="W30">
        <v>17</v>
      </c>
      <c r="X30">
        <v>64.489999999999995</v>
      </c>
      <c r="Y30">
        <v>16.5</v>
      </c>
      <c r="Z30">
        <v>9.6</v>
      </c>
      <c r="AA30">
        <v>35</v>
      </c>
      <c r="AB30">
        <v>4</v>
      </c>
      <c r="AC30">
        <v>2</v>
      </c>
      <c r="AD30">
        <v>0</v>
      </c>
      <c r="AE30">
        <v>42</v>
      </c>
    </row>
    <row r="31" spans="1:31" ht="17" x14ac:dyDescent="0.25">
      <c r="A31" s="2">
        <v>45621</v>
      </c>
      <c r="B31">
        <v>24111790</v>
      </c>
      <c r="C31" t="s">
        <v>31</v>
      </c>
      <c r="D31">
        <v>31</v>
      </c>
      <c r="E31">
        <v>105</v>
      </c>
      <c r="G31" s="6">
        <v>6.1390000000000002</v>
      </c>
      <c r="H31" s="6">
        <v>0.36699999999999999</v>
      </c>
      <c r="I31" s="5">
        <f t="shared" si="0"/>
        <v>16.727520435967303</v>
      </c>
      <c r="J31">
        <v>4.4000000000000004</v>
      </c>
      <c r="K31">
        <v>6.8</v>
      </c>
      <c r="L31">
        <v>23</v>
      </c>
      <c r="M31">
        <v>100</v>
      </c>
      <c r="N31">
        <v>304</v>
      </c>
      <c r="O31">
        <v>37</v>
      </c>
      <c r="P31">
        <v>11.1</v>
      </c>
      <c r="Q31">
        <v>20</v>
      </c>
      <c r="R31">
        <v>0.3</v>
      </c>
      <c r="S31">
        <v>2.2999999999999998</v>
      </c>
      <c r="T31">
        <v>20</v>
      </c>
      <c r="W31">
        <v>13</v>
      </c>
      <c r="X31">
        <v>9.17</v>
      </c>
      <c r="Y31">
        <v>10.7</v>
      </c>
      <c r="Z31">
        <v>9.6</v>
      </c>
      <c r="AA31">
        <v>7</v>
      </c>
      <c r="AB31">
        <v>1</v>
      </c>
      <c r="AC31">
        <v>1</v>
      </c>
      <c r="AD31">
        <v>0</v>
      </c>
      <c r="AE31">
        <v>10</v>
      </c>
    </row>
    <row r="32" spans="1:31" ht="17" x14ac:dyDescent="0.25">
      <c r="A32" s="2">
        <v>45621</v>
      </c>
      <c r="B32">
        <v>24111791</v>
      </c>
      <c r="C32" t="s">
        <v>31</v>
      </c>
      <c r="D32">
        <v>32</v>
      </c>
      <c r="E32">
        <v>110</v>
      </c>
      <c r="G32" s="6">
        <v>28.116</v>
      </c>
      <c r="H32" s="6">
        <v>1.7310000000000001</v>
      </c>
      <c r="I32" s="5">
        <f t="shared" si="0"/>
        <v>16.24263431542461</v>
      </c>
      <c r="J32">
        <v>4.9000000000000004</v>
      </c>
      <c r="K32">
        <v>6.8</v>
      </c>
      <c r="L32">
        <v>29</v>
      </c>
      <c r="M32">
        <v>357</v>
      </c>
      <c r="N32">
        <v>3323</v>
      </c>
      <c r="O32">
        <v>346</v>
      </c>
      <c r="P32">
        <v>10.7</v>
      </c>
      <c r="Q32">
        <v>114</v>
      </c>
      <c r="R32">
        <v>0.5</v>
      </c>
      <c r="S32">
        <v>2.1</v>
      </c>
      <c r="T32">
        <v>9</v>
      </c>
      <c r="W32">
        <v>23</v>
      </c>
      <c r="X32">
        <v>48</v>
      </c>
      <c r="Y32">
        <v>19.8</v>
      </c>
      <c r="Z32">
        <v>9.6</v>
      </c>
      <c r="AA32">
        <v>42</v>
      </c>
      <c r="AB32">
        <v>7</v>
      </c>
      <c r="AC32">
        <v>2</v>
      </c>
      <c r="AD32">
        <v>0</v>
      </c>
      <c r="AE32">
        <v>52</v>
      </c>
    </row>
    <row r="33" spans="1:31" ht="17" x14ac:dyDescent="0.25">
      <c r="A33" s="2">
        <v>45621</v>
      </c>
      <c r="B33">
        <v>24111792</v>
      </c>
      <c r="C33" t="s">
        <v>31</v>
      </c>
      <c r="D33">
        <v>33</v>
      </c>
      <c r="E33">
        <v>160</v>
      </c>
      <c r="G33" s="6">
        <v>5.2119999999999997</v>
      </c>
      <c r="H33" s="6">
        <v>0.26700000000000002</v>
      </c>
      <c r="I33" s="5">
        <f t="shared" si="0"/>
        <v>19.520599250936328</v>
      </c>
      <c r="J33">
        <v>4.9000000000000004</v>
      </c>
      <c r="K33">
        <v>7.25</v>
      </c>
      <c r="L33">
        <v>13</v>
      </c>
      <c r="M33">
        <v>123</v>
      </c>
      <c r="N33">
        <v>244</v>
      </c>
      <c r="O33">
        <v>48</v>
      </c>
      <c r="P33">
        <v>3.8</v>
      </c>
      <c r="Q33">
        <v>13</v>
      </c>
      <c r="R33">
        <v>1.8</v>
      </c>
      <c r="S33">
        <v>1.7</v>
      </c>
      <c r="T33">
        <v>11</v>
      </c>
      <c r="W33">
        <v>8</v>
      </c>
      <c r="X33">
        <v>7.7</v>
      </c>
      <c r="Y33">
        <v>7</v>
      </c>
      <c r="Z33">
        <v>6</v>
      </c>
      <c r="AA33">
        <v>9</v>
      </c>
      <c r="AB33">
        <v>3</v>
      </c>
      <c r="AC33">
        <v>2</v>
      </c>
      <c r="AD33">
        <v>0</v>
      </c>
      <c r="AE33">
        <v>14</v>
      </c>
    </row>
    <row r="34" spans="1:31" ht="17" x14ac:dyDescent="0.25">
      <c r="A34" s="2">
        <v>45621</v>
      </c>
      <c r="B34">
        <v>24111793</v>
      </c>
      <c r="C34" t="s">
        <v>31</v>
      </c>
      <c r="D34">
        <v>34</v>
      </c>
      <c r="E34">
        <v>170</v>
      </c>
      <c r="G34" s="6">
        <v>2.1840000000000002</v>
      </c>
      <c r="H34" s="6">
        <v>3.5999999999999997E-2</v>
      </c>
      <c r="I34" s="5">
        <f t="shared" si="0"/>
        <v>60.666666666666679</v>
      </c>
      <c r="J34">
        <v>5.4</v>
      </c>
      <c r="K34">
        <v>7.6</v>
      </c>
      <c r="L34">
        <v>6</v>
      </c>
      <c r="M34">
        <v>47</v>
      </c>
      <c r="N34">
        <v>214</v>
      </c>
      <c r="O34">
        <v>31</v>
      </c>
      <c r="P34">
        <v>1.6</v>
      </c>
      <c r="Q34">
        <v>22</v>
      </c>
      <c r="R34">
        <v>1.2</v>
      </c>
      <c r="S34">
        <v>1.3</v>
      </c>
      <c r="T34">
        <v>11</v>
      </c>
      <c r="W34">
        <v>0</v>
      </c>
      <c r="X34">
        <v>4.6399999999999997</v>
      </c>
      <c r="Y34">
        <v>3.9</v>
      </c>
      <c r="Z34">
        <v>3.2</v>
      </c>
      <c r="AA34">
        <v>14</v>
      </c>
      <c r="AB34">
        <v>3</v>
      </c>
      <c r="AC34">
        <v>2</v>
      </c>
      <c r="AD34">
        <v>1</v>
      </c>
      <c r="AE34">
        <v>19</v>
      </c>
    </row>
    <row r="35" spans="1:31" ht="17" x14ac:dyDescent="0.25">
      <c r="A35" s="2">
        <v>45621</v>
      </c>
      <c r="B35">
        <v>24111794</v>
      </c>
      <c r="C35" t="s">
        <v>31</v>
      </c>
      <c r="D35">
        <v>35</v>
      </c>
      <c r="E35">
        <v>176</v>
      </c>
      <c r="G35" s="6">
        <v>1.377</v>
      </c>
      <c r="H35" s="6">
        <v>0.02</v>
      </c>
      <c r="I35" s="5">
        <f t="shared" si="0"/>
        <v>68.849999999999994</v>
      </c>
      <c r="J35">
        <v>5.6</v>
      </c>
      <c r="K35">
        <v>7.7</v>
      </c>
      <c r="L35">
        <v>4</v>
      </c>
      <c r="M35">
        <v>50</v>
      </c>
      <c r="N35">
        <v>222</v>
      </c>
      <c r="O35">
        <v>32</v>
      </c>
      <c r="P35">
        <v>1.2</v>
      </c>
      <c r="Q35">
        <v>25</v>
      </c>
      <c r="R35">
        <v>0.9</v>
      </c>
      <c r="S35">
        <v>1.6</v>
      </c>
      <c r="T35">
        <v>14</v>
      </c>
      <c r="W35">
        <v>0</v>
      </c>
      <c r="X35">
        <v>3.03</v>
      </c>
      <c r="Y35">
        <v>3.2</v>
      </c>
      <c r="Z35">
        <v>2.4</v>
      </c>
      <c r="AA35">
        <v>17</v>
      </c>
      <c r="AB35">
        <v>4</v>
      </c>
      <c r="AC35">
        <v>2</v>
      </c>
      <c r="AD35">
        <v>1</v>
      </c>
      <c r="AE35">
        <v>24</v>
      </c>
    </row>
    <row r="36" spans="1:31" ht="17" x14ac:dyDescent="0.25">
      <c r="A36" s="2">
        <v>45621</v>
      </c>
      <c r="B36">
        <v>24111795</v>
      </c>
      <c r="C36" t="s">
        <v>31</v>
      </c>
      <c r="D36">
        <v>36</v>
      </c>
      <c r="E36">
        <v>180</v>
      </c>
      <c r="G36" s="6">
        <v>1.9750000000000001</v>
      </c>
      <c r="H36" s="6">
        <v>6.3E-2</v>
      </c>
      <c r="I36" s="5">
        <f t="shared" si="0"/>
        <v>31.349206349206352</v>
      </c>
      <c r="J36">
        <v>5.5</v>
      </c>
      <c r="K36">
        <v>7.6</v>
      </c>
      <c r="L36">
        <v>4</v>
      </c>
      <c r="M36">
        <v>84</v>
      </c>
      <c r="N36">
        <v>342</v>
      </c>
      <c r="O36">
        <v>56</v>
      </c>
      <c r="P36">
        <v>3.3</v>
      </c>
      <c r="Q36">
        <v>38</v>
      </c>
      <c r="R36">
        <v>1.8</v>
      </c>
      <c r="S36">
        <v>1.6</v>
      </c>
      <c r="T36">
        <v>17</v>
      </c>
      <c r="W36">
        <v>1</v>
      </c>
      <c r="X36">
        <v>4.8099999999999996</v>
      </c>
      <c r="Y36">
        <v>4.4000000000000004</v>
      </c>
      <c r="Z36">
        <v>3.2</v>
      </c>
      <c r="AA36">
        <v>19</v>
      </c>
      <c r="AB36">
        <v>5</v>
      </c>
      <c r="AC36">
        <v>2</v>
      </c>
      <c r="AD36">
        <v>1</v>
      </c>
      <c r="AE36">
        <v>28</v>
      </c>
    </row>
    <row r="37" spans="1:31" ht="17" x14ac:dyDescent="0.25">
      <c r="A37" s="2">
        <v>45621</v>
      </c>
      <c r="B37">
        <v>24111796</v>
      </c>
      <c r="C37" t="s">
        <v>31</v>
      </c>
      <c r="D37">
        <v>37</v>
      </c>
      <c r="E37">
        <v>190</v>
      </c>
      <c r="G37" s="6">
        <v>2.6779999999999999</v>
      </c>
      <c r="H37" s="6">
        <v>1.7000000000000001E-2</v>
      </c>
      <c r="I37" s="5">
        <f t="shared" si="0"/>
        <v>157.52941176470586</v>
      </c>
      <c r="J37">
        <v>5.7</v>
      </c>
      <c r="K37">
        <v>7.7</v>
      </c>
      <c r="L37">
        <v>12</v>
      </c>
      <c r="M37">
        <v>90</v>
      </c>
      <c r="N37">
        <v>572</v>
      </c>
      <c r="O37">
        <v>68</v>
      </c>
      <c r="P37">
        <v>4.0999999999999996</v>
      </c>
      <c r="Q37">
        <v>40</v>
      </c>
      <c r="R37">
        <v>1.3</v>
      </c>
      <c r="S37">
        <v>1.6</v>
      </c>
      <c r="T37">
        <v>10</v>
      </c>
      <c r="W37">
        <v>3</v>
      </c>
      <c r="X37">
        <v>3.17</v>
      </c>
      <c r="Y37">
        <v>4.3</v>
      </c>
      <c r="Z37">
        <v>2.4</v>
      </c>
      <c r="AA37">
        <v>33</v>
      </c>
      <c r="AB37">
        <v>7</v>
      </c>
      <c r="AC37">
        <v>3</v>
      </c>
      <c r="AD37">
        <v>1</v>
      </c>
      <c r="AE37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Adams Flinchum</dc:creator>
  <cp:lastModifiedBy>Brady Flinchum</cp:lastModifiedBy>
  <dcterms:created xsi:type="dcterms:W3CDTF">2024-12-02T19:11:42Z</dcterms:created>
  <dcterms:modified xsi:type="dcterms:W3CDTF">2026-05-13T01:36:12Z</dcterms:modified>
</cp:coreProperties>
</file>